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D:\working\waccache\QR1PEPF00002BCD\EXCELCNV\998acf89-944b-4d31-add9-40eac5451419\"/>
    </mc:Choice>
  </mc:AlternateContent>
  <xr:revisionPtr revIDLastSave="322" documentId="8_{00410003-924B-448E-AB0B-9C97165B5991}" xr6:coauthVersionLast="47" xr6:coauthVersionMax="47" xr10:uidLastSave="{C62E936A-7B26-4D2F-BBF0-6CD21BD317DE}"/>
  <bookViews>
    <workbookView xWindow="-60" yWindow="-60" windowWidth="15480" windowHeight="11640" firstSheet="1" activeTab="1" xr2:uid="{CF336755-3D67-4C7D-925C-318B803CC072}"/>
  </bookViews>
  <sheets>
    <sheet name="Instructions" sheetId="3" r:id="rId1"/>
    <sheet name="Risk_Tracking_Log" sheetId="2" r:id="rId2"/>
    <sheet name="DropDown_Elements" sheetId="4" state="hidden" r:id="rId3"/>
  </sheets>
  <externalReferences>
    <externalReference r:id="rId4"/>
  </externalReferences>
  <definedNames>
    <definedName name="_xlnm._FilterDatabase" localSheetId="0" hidden="1">Instructions!$A$24:$B$34</definedName>
    <definedName name="_xlnm._FilterDatabase" localSheetId="1" hidden="1">Risk_Tracking_Log!$B$5:$D$5</definedName>
    <definedName name="as">[1]DropDown_Elements!$A$2:$A$30</definedName>
    <definedName name="OLE_LINK1" localSheetId="1">Risk_Tracking_Log!#REF!</definedName>
    <definedName name="_xlnm.Print_Area" localSheetId="1">Risk_Tracking_Log!$A$1:$M$28</definedName>
    <definedName name="_xlnm.Print_Titles" localSheetId="1">Risk_Tracking_Log!$1:$5</definedName>
    <definedName name="Risk_Area">DropDown_Elements!$A$2:$A$30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6" i="2"/>
  <c r="J4" i="2"/>
  <c r="J2" i="2"/>
  <c r="I4" i="2"/>
  <c r="I3" i="2"/>
  <c r="I2" i="2"/>
  <c r="A1" i="3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O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eze3</author>
    <author>e</author>
  </authors>
  <commentList>
    <comment ref="A5" authorId="0" shapeId="0" xr:uid="{1F95095F-82A8-46B4-AF9B-42DE629BE79F}">
      <text>
        <r>
          <rPr>
            <b/>
            <sz val="8"/>
            <color indexed="81"/>
            <rFont val="Tahoma"/>
            <family val="2"/>
          </rPr>
          <t>• ID</t>
        </r>
        <r>
          <rPr>
            <sz val="8"/>
            <color indexed="81"/>
            <rFont val="Tahoma"/>
            <family val="2"/>
          </rPr>
          <t>: A unique ID number used to identify the risk in the risk management log.</t>
        </r>
      </text>
    </comment>
    <comment ref="B5" authorId="0" shapeId="0" xr:uid="{14B25FF4-D319-46D2-865B-38EF8DAE8954}">
      <text>
        <r>
          <rPr>
            <b/>
            <sz val="8"/>
            <color indexed="81"/>
            <rFont val="Tahoma"/>
            <family val="2"/>
          </rPr>
          <t>• Current Status:</t>
        </r>
        <r>
          <rPr>
            <sz val="8"/>
            <color indexed="81"/>
            <rFont val="Tahoma"/>
            <family val="2"/>
          </rPr>
          <t xml:space="preserve">  This column should be populated with the risk's current status.
</t>
        </r>
        <r>
          <rPr>
            <b/>
            <sz val="8"/>
            <color indexed="81"/>
            <rFont val="Tahoma"/>
            <family val="2"/>
          </rPr>
          <t>o Open</t>
        </r>
        <r>
          <rPr>
            <sz val="8"/>
            <color indexed="81"/>
            <rFont val="Tahoma"/>
            <family val="2"/>
          </rPr>
          <t xml:space="preserve">: The risk is currently open but is not yet an issue.
</t>
        </r>
        <r>
          <rPr>
            <b/>
            <sz val="8"/>
            <color indexed="81"/>
            <rFont val="Tahoma"/>
            <family val="2"/>
          </rPr>
          <t>o Closed</t>
        </r>
        <r>
          <rPr>
            <sz val="8"/>
            <color indexed="81"/>
            <rFont val="Tahoma"/>
            <family val="2"/>
          </rPr>
          <t>: The risk is no longer considered an active project threat and can be closed with or without resolution.</t>
        </r>
      </text>
    </comment>
    <comment ref="C5" authorId="0" shapeId="0" xr:uid="{6D0EFA4B-390D-4D55-B53B-A43768AB2655}">
      <text>
        <r>
          <rPr>
            <b/>
            <sz val="8"/>
            <color indexed="81"/>
            <rFont val="Tahoma"/>
            <family val="2"/>
          </rPr>
          <t>• Risk Impact</t>
        </r>
        <r>
          <rPr>
            <sz val="8"/>
            <color indexed="81"/>
            <rFont val="Tahoma"/>
            <family val="2"/>
          </rPr>
          <t xml:space="preserve">: This column should be populated with the potential impact of the risk if it did become a project issue.  Valid options include the following: High, Medium, Low.  These are defined as follows:
</t>
        </r>
        <r>
          <rPr>
            <b/>
            <sz val="8"/>
            <color indexed="81"/>
            <rFont val="Tahoma"/>
            <family val="2"/>
          </rPr>
          <t>o High</t>
        </r>
        <r>
          <rPr>
            <sz val="8"/>
            <color indexed="81"/>
            <rFont val="Tahoma"/>
            <family val="2"/>
          </rPr>
          <t xml:space="preserve">: Risk that has the potential to greatly impact project cost, project schedule or performance.
</t>
        </r>
        <r>
          <rPr>
            <b/>
            <sz val="8"/>
            <color indexed="81"/>
            <rFont val="Tahoma"/>
            <family val="2"/>
          </rPr>
          <t>o Medium</t>
        </r>
        <r>
          <rPr>
            <sz val="8"/>
            <color indexed="81"/>
            <rFont val="Tahoma"/>
            <family val="2"/>
          </rPr>
          <t xml:space="preserve">: Risk that has the potential to slightly impact project cost, project schedule or performance.
</t>
        </r>
        <r>
          <rPr>
            <b/>
            <sz val="8"/>
            <color indexed="81"/>
            <rFont val="Tahoma"/>
            <family val="2"/>
          </rPr>
          <t>o Low</t>
        </r>
        <r>
          <rPr>
            <sz val="8"/>
            <color indexed="81"/>
            <rFont val="Tahoma"/>
            <family val="2"/>
          </rPr>
          <t>: Risk that has relatively little impact on cost, schedule or performance.</t>
        </r>
      </text>
    </comment>
    <comment ref="D5" authorId="0" shapeId="0" xr:uid="{41F3CCCF-6B81-40FE-BA42-D785C3F5F5B8}">
      <text>
        <r>
          <rPr>
            <b/>
            <sz val="8"/>
            <color indexed="81"/>
            <rFont val="Tahoma"/>
            <family val="2"/>
          </rPr>
          <t>• Probability of Occurrence:</t>
        </r>
        <r>
          <rPr>
            <sz val="8"/>
            <color indexed="81"/>
            <rFont val="Tahoma"/>
            <family val="2"/>
          </rPr>
          <t xml:space="preserve">  This column should be populated with the estimated probability that the risk will at some point become a project issue.
</t>
        </r>
        <r>
          <rPr>
            <b/>
            <sz val="8"/>
            <color indexed="81"/>
            <rFont val="Tahoma"/>
            <family val="2"/>
          </rPr>
          <t>o High</t>
        </r>
        <r>
          <rPr>
            <sz val="8"/>
            <color indexed="81"/>
            <rFont val="Tahoma"/>
            <family val="2"/>
          </rPr>
          <t xml:space="preserve">: Greater than 70% probability of occurrence.
</t>
        </r>
        <r>
          <rPr>
            <b/>
            <sz val="8"/>
            <color indexed="81"/>
            <rFont val="Tahoma"/>
            <family val="2"/>
          </rPr>
          <t>o Medium</t>
        </r>
        <r>
          <rPr>
            <sz val="8"/>
            <color indexed="81"/>
            <rFont val="Tahoma"/>
            <family val="2"/>
          </rPr>
          <t xml:space="preserve">: Between 30% and 70% probability of occurrence.
</t>
        </r>
        <r>
          <rPr>
            <b/>
            <sz val="8"/>
            <color indexed="81"/>
            <rFont val="Tahoma"/>
            <family val="2"/>
          </rPr>
          <t>o Low</t>
        </r>
        <r>
          <rPr>
            <sz val="8"/>
            <color indexed="81"/>
            <rFont val="Tahoma"/>
            <family val="2"/>
          </rPr>
          <t>: Below 30% probability of occurrence.</t>
        </r>
      </text>
    </comment>
    <comment ref="E5" authorId="1" shapeId="0" xr:uid="{2155CB2F-334A-4A3D-A167-649D9FC93795}">
      <text>
        <r>
          <rPr>
            <b/>
            <sz val="8"/>
            <color indexed="81"/>
            <rFont val="Tahoma"/>
            <family val="2"/>
          </rPr>
          <t>• Risk Map</t>
        </r>
        <r>
          <rPr>
            <sz val="8"/>
            <color indexed="81"/>
            <rFont val="Tahoma"/>
            <family val="2"/>
          </rPr>
          <t xml:space="preserve">: This is a calculated field based on the values selected for both Risk Impact and Probability of Occurrence.
</t>
        </r>
        <r>
          <rPr>
            <b/>
            <sz val="8"/>
            <color indexed="81"/>
            <rFont val="Tahoma"/>
            <family val="2"/>
          </rPr>
          <t>o Green</t>
        </r>
        <r>
          <rPr>
            <sz val="8"/>
            <color indexed="81"/>
            <rFont val="Tahoma"/>
            <family val="2"/>
          </rPr>
          <t xml:space="preserve">: LL (Low Probability, Low Impact), LM (Low Probability, Medium Impact), ML (Medium Probability, Low Impact)
</t>
        </r>
        <r>
          <rPr>
            <b/>
            <sz val="8"/>
            <color indexed="81"/>
            <rFont val="Tahoma"/>
            <family val="2"/>
          </rPr>
          <t>o Yellow</t>
        </r>
        <r>
          <rPr>
            <sz val="8"/>
            <color indexed="81"/>
            <rFont val="Tahoma"/>
            <family val="2"/>
          </rPr>
          <t xml:space="preserve">: LH (Low Probability, High Impact), MM (Medium Probability, Medium Impact), HL (High Probability, Low Impact)
</t>
        </r>
        <r>
          <rPr>
            <b/>
            <sz val="8"/>
            <color indexed="81"/>
            <rFont val="Tahoma"/>
            <family val="2"/>
          </rPr>
          <t>o Red</t>
        </r>
        <r>
          <rPr>
            <sz val="8"/>
            <color indexed="81"/>
            <rFont val="Tahoma"/>
            <family val="2"/>
          </rPr>
          <t>: MH (Medium Probability, High Impact), HM (High Probability Medium Impact), HH (High Probability, High Impact)</t>
        </r>
      </text>
    </comment>
    <comment ref="F5" authorId="0" shapeId="0" xr:uid="{CA2FC7B5-AE77-4620-B346-3BEFB86BA865}">
      <text>
        <r>
          <rPr>
            <b/>
            <sz val="8"/>
            <color indexed="81"/>
            <rFont val="Tahoma"/>
            <family val="2"/>
          </rPr>
          <t>• Risk Description</t>
        </r>
        <r>
          <rPr>
            <sz val="8"/>
            <color indexed="81"/>
            <rFont val="Tahoma"/>
            <family val="2"/>
          </rPr>
          <t>:  This column should be populated with a description of the risk.</t>
        </r>
      </text>
    </comment>
    <comment ref="G5" authorId="1" shapeId="0" xr:uid="{8F9A2253-10A5-4C6D-BA40-C99290D7E7C3}">
      <text>
        <r>
          <rPr>
            <b/>
            <sz val="8"/>
            <color indexed="81"/>
            <rFont val="Tahoma"/>
            <family val="2"/>
          </rPr>
          <t xml:space="preserve">• Project Impact:  </t>
        </r>
        <r>
          <rPr>
            <sz val="8"/>
            <color indexed="81"/>
            <rFont val="Tahoma"/>
            <family val="2"/>
          </rPr>
          <t>This column should be populated with a description of the potential project impact as a result of the risk.</t>
        </r>
      </text>
    </comment>
    <comment ref="H5" authorId="0" shapeId="0" xr:uid="{C714F84A-26D4-4F97-9976-E0DC90104971}">
      <text>
        <r>
          <rPr>
            <b/>
            <sz val="8"/>
            <color indexed="81"/>
            <rFont val="Tahoma"/>
            <family val="2"/>
          </rPr>
          <t>• Risk Area:</t>
        </r>
        <r>
          <rPr>
            <sz val="8"/>
            <color indexed="81"/>
            <rFont val="Tahoma"/>
            <family val="2"/>
          </rPr>
          <t xml:space="preserve"> This column should be populated with the appropriate risk area.</t>
        </r>
      </text>
    </comment>
    <comment ref="I5" authorId="1" shapeId="0" xr:uid="{8FCE37C6-3AE0-4BDB-AF4F-6590ECD95C5F}">
      <text>
        <r>
          <rPr>
            <b/>
            <sz val="8"/>
            <color indexed="81"/>
            <rFont val="Tahoma"/>
            <family val="2"/>
          </rPr>
          <t>• Symptoms:</t>
        </r>
        <r>
          <rPr>
            <sz val="8"/>
            <color indexed="81"/>
            <rFont val="Tahoma"/>
            <family val="2"/>
          </rPr>
          <t xml:space="preserve">  This column should be populated with the symptoms of risk that may eventually lead to the execution of a risk contingency plan.</t>
        </r>
      </text>
    </comment>
    <comment ref="J5" authorId="1" shapeId="0" xr:uid="{5F9A830D-FCDC-4F90-9833-2F1084DCDA84}">
      <text>
        <r>
          <rPr>
            <b/>
            <sz val="8"/>
            <color indexed="81"/>
            <rFont val="Tahoma"/>
            <family val="2"/>
          </rPr>
          <t xml:space="preserve">• Triggers:  </t>
        </r>
        <r>
          <rPr>
            <sz val="8"/>
            <color indexed="81"/>
            <rFont val="Tahoma"/>
            <family val="2"/>
          </rPr>
          <t>This column should be populated with the triggers that would indicate the requirement to execute contingency plans.</t>
        </r>
      </text>
    </comment>
    <comment ref="K5" authorId="1" shapeId="0" xr:uid="{99BCA5AA-5303-41B6-A09E-F92AB3FEFF49}">
      <text>
        <r>
          <rPr>
            <b/>
            <sz val="8"/>
            <color indexed="81"/>
            <rFont val="Tahoma"/>
            <family val="2"/>
          </rPr>
          <t xml:space="preserve">Risk Response Strategy: </t>
        </r>
        <r>
          <rPr>
            <sz val="8"/>
            <color indexed="81"/>
            <rFont val="Tahoma"/>
            <family val="2"/>
          </rPr>
          <t>This column should be populated with the preferred risk response strategy.</t>
        </r>
      </text>
    </comment>
    <comment ref="L5" authorId="0" shapeId="0" xr:uid="{41F2B8F4-8E0E-4249-8304-D875F2F86235}">
      <text>
        <r>
          <rPr>
            <b/>
            <sz val="8"/>
            <color indexed="81"/>
            <rFont val="Tahoma"/>
            <family val="2"/>
          </rPr>
          <t>• ResponseStrategy</t>
        </r>
        <r>
          <rPr>
            <sz val="8"/>
            <color indexed="81"/>
            <rFont val="Tahoma"/>
            <family val="2"/>
          </rPr>
          <t>: This column should be populated an appropriate response strategy to prevent the risk from becoming an issue.</t>
        </r>
      </text>
    </comment>
    <comment ref="M5" authorId="1" shapeId="0" xr:uid="{E3FDE163-F2A8-4615-ADD3-AF78DD3934CA}">
      <text>
        <r>
          <rPr>
            <b/>
            <sz val="8"/>
            <color indexed="81"/>
            <rFont val="Tahoma"/>
            <family val="2"/>
          </rPr>
          <t xml:space="preserve">• Contingency Plan:  </t>
        </r>
        <r>
          <rPr>
            <sz val="8"/>
            <color indexed="81"/>
            <rFont val="Tahoma"/>
            <family val="2"/>
          </rPr>
          <t>This column should be populated with a description of the risk contingency plan.</t>
        </r>
      </text>
    </comment>
  </commentList>
</comments>
</file>

<file path=xl/sharedStrings.xml><?xml version="1.0" encoding="utf-8"?>
<sst xmlns="http://schemas.openxmlformats.org/spreadsheetml/2006/main" count="333" uniqueCount="233">
  <si>
    <t>Column</t>
  </si>
  <si>
    <t>Instructions For Completing This Document</t>
  </si>
  <si>
    <t>Complete the Project Name, NC, Project Manager Name, and Project Description fields</t>
  </si>
  <si>
    <t>For each risk identified, complete the following:</t>
  </si>
  <si>
    <t>A</t>
  </si>
  <si>
    <r>
      <t>ID</t>
    </r>
    <r>
      <rPr>
        <sz val="8"/>
        <rFont val="Arial"/>
        <family val="2"/>
      </rPr>
      <t>: A unique ID number used to identify the risk in the risk tracking log.</t>
    </r>
  </si>
  <si>
    <t>B</t>
  </si>
  <si>
    <r>
      <t>Current Status</t>
    </r>
    <r>
      <rPr>
        <sz val="8"/>
        <rFont val="Arial"/>
        <family val="2"/>
      </rPr>
      <t xml:space="preserve">: This column should be populated with the risk's current status.
</t>
    </r>
    <r>
      <rPr>
        <b/>
        <sz val="8"/>
        <rFont val="Arial"/>
        <family val="2"/>
      </rPr>
      <t>o Open</t>
    </r>
    <r>
      <rPr>
        <sz val="8"/>
        <rFont val="Arial"/>
        <family val="2"/>
      </rPr>
      <t xml:space="preserve">: The risk is currently open but is not yet an issue.
</t>
    </r>
    <r>
      <rPr>
        <b/>
        <sz val="8"/>
        <rFont val="Arial"/>
        <family val="2"/>
      </rPr>
      <t>o Closed</t>
    </r>
    <r>
      <rPr>
        <sz val="8"/>
        <rFont val="Arial"/>
        <family val="2"/>
      </rPr>
      <t>: The risk is no longer considered an active project threat and can be closed with or without resolution.</t>
    </r>
    <r>
      <rPr>
        <b/>
        <sz val="8"/>
        <rFont val="Arial"/>
        <family val="2"/>
      </rPr>
      <t/>
    </r>
  </si>
  <si>
    <t>C</t>
  </si>
  <si>
    <r>
      <t>Risk Impact</t>
    </r>
    <r>
      <rPr>
        <sz val="8"/>
        <rFont val="Arial"/>
        <family val="2"/>
      </rPr>
      <t xml:space="preserve">:  This column should be populated with the potential impact of the risk if it did become a project issue.  Valid options include the following: High, Medium, Low.  These are defined as follows:
</t>
    </r>
    <r>
      <rPr>
        <b/>
        <sz val="8"/>
        <rFont val="Arial"/>
        <family val="2"/>
      </rPr>
      <t>o High</t>
    </r>
    <r>
      <rPr>
        <sz val="8"/>
        <rFont val="Arial"/>
        <family val="2"/>
      </rPr>
      <t xml:space="preserve">: Risk that has the potential to greatly impact project cost, project schedule or performance.
</t>
    </r>
    <r>
      <rPr>
        <b/>
        <sz val="8"/>
        <rFont val="Arial"/>
        <family val="2"/>
      </rPr>
      <t>o Medium</t>
    </r>
    <r>
      <rPr>
        <sz val="8"/>
        <rFont val="Arial"/>
        <family val="2"/>
      </rPr>
      <t xml:space="preserve">: Risk that has the potential to slightly impact project cost, project schedule or performance.
</t>
    </r>
    <r>
      <rPr>
        <b/>
        <sz val="8"/>
        <rFont val="Arial"/>
        <family val="2"/>
      </rPr>
      <t>o Low</t>
    </r>
    <r>
      <rPr>
        <sz val="8"/>
        <rFont val="Arial"/>
        <family val="2"/>
      </rPr>
      <t>: Risk that has relatively little impact on cost, schedule or performance.</t>
    </r>
  </si>
  <si>
    <t>D</t>
  </si>
  <si>
    <r>
      <t>Probability of Occurrence</t>
    </r>
    <r>
      <rPr>
        <sz val="8"/>
        <rFont val="Arial"/>
        <family val="2"/>
      </rPr>
      <t>: This column should be populated with the estimated probability that the risk will at some point become a project issue.</t>
    </r>
  </si>
  <si>
    <t>E</t>
  </si>
  <si>
    <r>
      <t>Risk Map</t>
    </r>
    <r>
      <rPr>
        <sz val="8"/>
        <rFont val="Arial"/>
        <family val="2"/>
      </rPr>
      <t xml:space="preserve">: This is a calculated field based on the values selected for both Risk Impact and Probability of Occurrence.
</t>
    </r>
    <r>
      <rPr>
        <b/>
        <sz val="8"/>
        <rFont val="Arial"/>
        <family val="2"/>
      </rPr>
      <t>o Green</t>
    </r>
    <r>
      <rPr>
        <sz val="8"/>
        <rFont val="Arial"/>
        <family val="2"/>
      </rPr>
      <t xml:space="preserve">: LL (Low Probability, Low Impact), LM (Low Probability, Medium Impact), ML (Medium Probability, Low Impact)
</t>
    </r>
    <r>
      <rPr>
        <b/>
        <sz val="8"/>
        <rFont val="Arial"/>
        <family val="2"/>
      </rPr>
      <t>o Yellow</t>
    </r>
    <r>
      <rPr>
        <sz val="8"/>
        <rFont val="Arial"/>
        <family val="2"/>
      </rPr>
      <t xml:space="preserve">: LH (Low Probability, High Impact), MM (Medium Probability, Medium Impact), HL (High Probability, Low Impact)
</t>
    </r>
    <r>
      <rPr>
        <b/>
        <sz val="8"/>
        <rFont val="Arial"/>
        <family val="2"/>
      </rPr>
      <t>o Red</t>
    </r>
    <r>
      <rPr>
        <sz val="8"/>
        <rFont val="Arial"/>
        <family val="2"/>
      </rPr>
      <t>: MH (Medium Probability, High Impact), HM (High Probability Medium Impact), HH (High Probability, High Impact)</t>
    </r>
  </si>
  <si>
    <t>F</t>
  </si>
  <si>
    <r>
      <t>Risk Description</t>
    </r>
    <r>
      <rPr>
        <sz val="8"/>
        <rFont val="Arial"/>
        <family val="2"/>
      </rPr>
      <t>: This column should be populated with a description of the risk.</t>
    </r>
  </si>
  <si>
    <t>G</t>
  </si>
  <si>
    <r>
      <t>Project Impact</t>
    </r>
    <r>
      <rPr>
        <sz val="8"/>
        <rFont val="Arial"/>
        <family val="2"/>
      </rPr>
      <t>: This column should be populated with a description of the potential project impact as a result of the risk.</t>
    </r>
  </si>
  <si>
    <t>H</t>
  </si>
  <si>
    <r>
      <t>Risk Area</t>
    </r>
    <r>
      <rPr>
        <sz val="8"/>
        <rFont val="Arial"/>
        <family val="2"/>
      </rPr>
      <t>: This column should be populated with the appropriate risk area.</t>
    </r>
  </si>
  <si>
    <t>I</t>
  </si>
  <si>
    <r>
      <t>Symptoms</t>
    </r>
    <r>
      <rPr>
        <sz val="8"/>
        <rFont val="Arial"/>
        <family val="2"/>
      </rPr>
      <t>: This column should be populated with the symptoms of risk that may eventually lead to the execution of a risk contingency plan.</t>
    </r>
  </si>
  <si>
    <t>J</t>
  </si>
  <si>
    <r>
      <t>Trigger</t>
    </r>
    <r>
      <rPr>
        <sz val="8"/>
        <rFont val="Arial"/>
        <family val="2"/>
      </rPr>
      <t>: This column should be populated with the triggers that would indicate the requirement to execute contingency plans.</t>
    </r>
  </si>
  <si>
    <t>K</t>
  </si>
  <si>
    <r>
      <t>Risk Response Strategy</t>
    </r>
    <r>
      <rPr>
        <sz val="8"/>
        <rFont val="Arial"/>
        <family val="2"/>
      </rPr>
      <t>: This column should be populated with the preferred risk response strategy.</t>
    </r>
  </si>
  <si>
    <t>L</t>
  </si>
  <si>
    <r>
      <t>Response Strategy</t>
    </r>
    <r>
      <rPr>
        <sz val="8"/>
        <rFont val="Arial"/>
        <family val="2"/>
      </rPr>
      <t>: This column should be populated an appropriate response strategy to prevent the risk from becoming an issue.</t>
    </r>
  </si>
  <si>
    <t>M</t>
  </si>
  <si>
    <r>
      <t>Contingency Plan</t>
    </r>
    <r>
      <rPr>
        <sz val="8"/>
        <rFont val="Arial"/>
        <family val="2"/>
      </rPr>
      <t>: This column should be populated with a description of the risk contingency plan.</t>
    </r>
  </si>
  <si>
    <t>Instructions For Changing the Contents of Drop-Down Menus</t>
  </si>
  <si>
    <t>C, D, H</t>
  </si>
  <si>
    <t>Highlight the cell of which you wish to change the content of the drop down menu.
From the file menu click "Data" -&gt; "Validation" and change the content of the source field</t>
  </si>
  <si>
    <t>Instructions For Filtering Data</t>
  </si>
  <si>
    <t>Any</t>
  </si>
  <si>
    <t>Highlight the header of the cell you wish to filter data on
From the file menu click "Date" -&gt; "Filter" -&gt;"Auto Filter"
Then select your filter criteria from the drop down menu that appears on your header cell</t>
  </si>
  <si>
    <t>RISK MANAGEMENT LOG</t>
  </si>
  <si>
    <t>Project Name:</t>
  </si>
  <si>
    <t>HawkEye Osint</t>
  </si>
  <si>
    <t>Project Manager Name:</t>
  </si>
  <si>
    <t>Mark Fedechko</t>
  </si>
  <si>
    <t>Project Description:</t>
  </si>
  <si>
    <t>&lt;required&gt;</t>
  </si>
  <si>
    <t>ID</t>
  </si>
  <si>
    <t>Current
Status</t>
  </si>
  <si>
    <t>Risk
Impact</t>
  </si>
  <si>
    <t>Probability of
Occurrence</t>
  </si>
  <si>
    <t>Risk
Map</t>
  </si>
  <si>
    <t>Risk
Description</t>
  </si>
  <si>
    <t>Project
Impact</t>
  </si>
  <si>
    <t>Risk Area</t>
  </si>
  <si>
    <t>Symptoms</t>
  </si>
  <si>
    <t>Triggers</t>
  </si>
  <si>
    <t>Risk Response
Strategy</t>
  </si>
  <si>
    <t>Response Strategy</t>
  </si>
  <si>
    <t>Contingency Plan</t>
  </si>
  <si>
    <t xml:space="preserve">EX. </t>
  </si>
  <si>
    <t>Open</t>
  </si>
  <si>
    <t>High</t>
  </si>
  <si>
    <t>Low</t>
  </si>
  <si>
    <r>
      <t xml:space="preserve">EXAMPLE: </t>
    </r>
    <r>
      <rPr>
        <sz val="8"/>
        <rFont val="Arial"/>
        <family val="2"/>
      </rPr>
      <t>Current project skill set may not be adequate to complete all project work.  The current development team has been working in a Windows 2k environment, and the current requirements are for a LINUX environment.  The project schedule would require 1500 development hours of a skilled LINUX operator, and approximately 1900 to 2200 if we retrain our current resources.</t>
    </r>
  </si>
  <si>
    <r>
      <t>EXAMPLE:</t>
    </r>
    <r>
      <rPr>
        <sz val="8"/>
        <rFont val="Arial"/>
        <family val="2"/>
      </rPr>
      <t xml:space="preserve"> If required skills are not identified or obtained, project schedule may slip and possibly restrict the accomplishment of project goals.</t>
    </r>
  </si>
  <si>
    <t>Project Resources
Budget
Schedule</t>
  </si>
  <si>
    <r>
      <t xml:space="preserve">EXAMPLE: </t>
    </r>
    <r>
      <rPr>
        <sz val="8"/>
        <rFont val="Arial"/>
        <family val="2"/>
      </rPr>
      <t>Schedule approaches the required start date with no identification of required skill sets.</t>
    </r>
  </si>
  <si>
    <r>
      <t>EXAMPLE:</t>
    </r>
    <r>
      <rPr>
        <sz val="8"/>
        <rFont val="Arial"/>
        <family val="2"/>
      </rPr>
      <t xml:space="preserve"> Four weeks prior to scheduled start date if no resource is identified with required skill set implement contingency plan.</t>
    </r>
  </si>
  <si>
    <t>Mitigation</t>
  </si>
  <si>
    <r>
      <t xml:space="preserve">EXAMPLE: </t>
    </r>
    <r>
      <rPr>
        <sz val="8"/>
        <rFont val="Arial"/>
        <family val="2"/>
      </rPr>
      <t>Find internal resource that meets required skill set or train existing resources on LINUX.</t>
    </r>
  </si>
  <si>
    <r>
      <t>EXAMPLE:</t>
    </r>
    <r>
      <rPr>
        <sz val="8"/>
        <rFont val="Arial"/>
        <family val="2"/>
      </rPr>
      <t xml:space="preserve"> Find resource that meets required skill set through external hiring sources.</t>
    </r>
  </si>
  <si>
    <t>1</t>
  </si>
  <si>
    <t>Closed</t>
  </si>
  <si>
    <t>Delayed implementation of the GUI</t>
  </si>
  <si>
    <t xml:space="preserve">The project would be unusable without a functional GUI. </t>
  </si>
  <si>
    <t>Overall Project Failure</t>
  </si>
  <si>
    <t>Gui Features fail during testing and user interaction</t>
  </si>
  <si>
    <t>GUI milestones are missed or interface errors remain unresolved</t>
  </si>
  <si>
    <t>Assign additional frontend devlopers and increase GUI testing frequency</t>
  </si>
  <si>
    <t>revert to a simplified GUI that keeps core functionality</t>
  </si>
  <si>
    <t>2</t>
  </si>
  <si>
    <t>Failure to implemment the API for reading reddit</t>
  </si>
  <si>
    <t>The project would be unusable without the read only reddit API</t>
  </si>
  <si>
    <t>Reddit data cannot be retrieved or displayed correctly</t>
  </si>
  <si>
    <t>API requests fail repeatedly or reddit changes API Permissions</t>
  </si>
  <si>
    <t>Contingency</t>
  </si>
  <si>
    <t>Implement API Monitoring and create backup retrival methods</t>
  </si>
  <si>
    <t>switch to alternative OSINT data sources or use manuel imports</t>
  </si>
  <si>
    <t>3</t>
  </si>
  <si>
    <t>Medium</t>
  </si>
  <si>
    <t>Limitations in reverse image search tools returning imprecise or irrelevent results</t>
  </si>
  <si>
    <t xml:space="preserve">This will provide the user with incorrect information and result in a inconcistent experiance. </t>
  </si>
  <si>
    <t>Surety Considerations</t>
  </si>
  <si>
    <t>search results return unrelated or incomplete matches</t>
  </si>
  <si>
    <t>Reverse image tool accuray drops below acceptable levels</t>
  </si>
  <si>
    <t>Acceptance</t>
  </si>
  <si>
    <t>cross-refrence results using multiple image search engines</t>
  </si>
  <si>
    <t>notify users of reduced confidence and limit unsupporeted conclusions</t>
  </si>
  <si>
    <t>4</t>
  </si>
  <si>
    <t>Failure of article scraping on paywalled or java script heavy websites</t>
  </si>
  <si>
    <t xml:space="preserve">This will not provide information for the LLM to process, causing a disruption in the workflow. </t>
  </si>
  <si>
    <t>Data/Information</t>
  </si>
  <si>
    <t>article scraping failes or pages return errors</t>
  </si>
  <si>
    <t>websites implement anti-bot protection or java script rendering changes</t>
  </si>
  <si>
    <t>use alternative scraping libraries and rotating user agents</t>
  </si>
  <si>
    <t>replace failed sources with alternative news or article providers</t>
  </si>
  <si>
    <t>5</t>
  </si>
  <si>
    <t>Reduced local LLM performance on lower-spec hardware</t>
  </si>
  <si>
    <t xml:space="preserve">The time taken to process requests will simply be too long. </t>
  </si>
  <si>
    <t>Reliability of Systems</t>
  </si>
  <si>
    <t>long response times or delayed processing</t>
  </si>
  <si>
    <t xml:space="preserve">hardware exceeds safe limits during testing </t>
  </si>
  <si>
    <t>Transfer</t>
  </si>
  <si>
    <t>optimize code and reduce unnecessary processing tasks</t>
  </si>
  <si>
    <t>move processing tasks to high spec hardware or cloud systems</t>
  </si>
  <si>
    <t>6</t>
  </si>
  <si>
    <t>Bugs in GUI or Report export functionality</t>
  </si>
  <si>
    <t xml:space="preserve">This will affect the end users understanding of the LLM's output. </t>
  </si>
  <si>
    <t>users are unable to export reports or view interface properly</t>
  </si>
  <si>
    <t>UI errors appear during demonstrations or testing</t>
  </si>
  <si>
    <t>conduct regular UI testing and bug fixing sessions</t>
  </si>
  <si>
    <t>provide manual reporting methods until functionality is restored</t>
  </si>
  <si>
    <t>7</t>
  </si>
  <si>
    <t>Database/cache corruption</t>
  </si>
  <si>
    <t xml:space="preserve">This will prevent the LLM of reaching accurate conclusions. </t>
  </si>
  <si>
    <t>missing or corrupted stored data appears during testing</t>
  </si>
  <si>
    <t>database save or retrieval errors occur</t>
  </si>
  <si>
    <t>implement automatic backups and verify validation checks</t>
  </si>
  <si>
    <t>restore previous database backups and isolate corrupted records</t>
  </si>
  <si>
    <t>8</t>
  </si>
  <si>
    <t>Loss of image EXIF metadata</t>
  </si>
  <si>
    <t xml:space="preserve">Lossing EXIF metadata will give inaccurate results or no results for the end user to look at, rendering the tool as ineffective in it's goal. </t>
  </si>
  <si>
    <t>metadata fields appear blank or incomplete</t>
  </si>
  <si>
    <t>uploaded images contain stripped or unsupported exif data</t>
  </si>
  <si>
    <t>validate image metadata before processing</t>
  </si>
  <si>
    <t>inform users that metadata analysis is unavaliable for affected files</t>
  </si>
  <si>
    <t>11</t>
  </si>
  <si>
    <t>Limited development time reducing the scope of testing and documentation</t>
  </si>
  <si>
    <t>This will allow for bugs and errors to maintain in the project without being found or fixed</t>
  </si>
  <si>
    <t>Future Procurements</t>
  </si>
  <si>
    <t>increased number of unresolved bugs or documentation gaps</t>
  </si>
  <si>
    <t>development deadlines reduce avaliable testing time</t>
  </si>
  <si>
    <t>prioritize core testing tasks and maintain minimum documentation standards</t>
  </si>
  <si>
    <t>delay any nonessential features until testing and documentation are complete</t>
  </si>
  <si>
    <t>12</t>
  </si>
  <si>
    <t>Reddit posts not containing a usable image</t>
  </si>
  <si>
    <t xml:space="preserve">This will leave the LLM without a image to inspect when looking at posts, limiting the posts that will get looked at, potentially resulting in a lower scope of search. </t>
  </si>
  <si>
    <t>reddit posts lack usable images</t>
  </si>
  <si>
    <t>retrieved posts fail image validation checks</t>
  </si>
  <si>
    <t>Avoidance</t>
  </si>
  <si>
    <t>filter posts before analysis and prioritize image-based content</t>
  </si>
  <si>
    <t>expand to searches to aditional subreddits or external image sources</t>
  </si>
  <si>
    <t>13</t>
  </si>
  <si>
    <t>Reverse image searches returning few or unrelated results</t>
  </si>
  <si>
    <t xml:space="preserve">This will result in a weak conclussion for the user. </t>
  </si>
  <si>
    <t>search results provide few meaningful image matches</t>
  </si>
  <si>
    <t>reverse image searches return mostly unrelated content</t>
  </si>
  <si>
    <t xml:space="preserve">use multiple search providers and improve search filtering </t>
  </si>
  <si>
    <t>reduce reliance on reverse image search conclussions</t>
  </si>
  <si>
    <t>14</t>
  </si>
  <si>
    <t>scrapped articles may contain firewalls or heavy javascript rendering or minimal content</t>
  </si>
  <si>
    <t xml:space="preserve">This will prevent the LLM of gaining a holistic view of every image they could possibly look at. This can cause potential links of articles and photos being missed. </t>
  </si>
  <si>
    <t>scrapped article content appears incomplete or inaccessable</t>
  </si>
  <si>
    <t>firewalls or dynamic webpage content block scrapping requests</t>
  </si>
  <si>
    <t>use browser automation and alternative extraction tools</t>
  </si>
  <si>
    <t>manually review blocked articles or use alternative news sites</t>
  </si>
  <si>
    <t>15</t>
  </si>
  <si>
    <t xml:space="preserve">Image EXIF metadata may be stripped by the hosting platform before the image is downloaded. </t>
  </si>
  <si>
    <t xml:space="preserve">This will interupt the work flow of the program and result in </t>
  </si>
  <si>
    <t>metadata information disapears after image download</t>
  </si>
  <si>
    <t>hosting websits compress or modify uploaded files</t>
  </si>
  <si>
    <t>collect images from original upload sources whenever possible</t>
  </si>
  <si>
    <t>notify users of unavaliable metadata and continue limited analysis</t>
  </si>
  <si>
    <t>16</t>
  </si>
  <si>
    <t>Hallucination or overconfident classification of a post</t>
  </si>
  <si>
    <t>Provides inacurate results for the user</t>
  </si>
  <si>
    <t>the model incorrectly identifies or classifies content</t>
  </si>
  <si>
    <t>edge cases or biased training data create inconsistent outputs</t>
  </si>
  <si>
    <t>add verification checks and improve classification training data</t>
  </si>
  <si>
    <t>require manual review for uncertain classifications</t>
  </si>
  <si>
    <t>17</t>
  </si>
  <si>
    <t xml:space="preserve">Incorrect verdicts on edge cases </t>
  </si>
  <si>
    <t>incorrect conclusions appear in unusual or edge-case scenarios</t>
  </si>
  <si>
    <t xml:space="preserve">inputs fall outside expected operating conditions </t>
  </si>
  <si>
    <t>expand testing datasets and implement confidence scoring</t>
  </si>
  <si>
    <t xml:space="preserve">flag low-confidence results for manual analysis </t>
  </si>
  <si>
    <t>18</t>
  </si>
  <si>
    <t>Members not communicating or engaging within the discord</t>
  </si>
  <si>
    <t xml:space="preserve">This will result in a rush to complete the project or lacking features in the end project. </t>
  </si>
  <si>
    <t>Organizational/Change Management</t>
  </si>
  <si>
    <t>team members miss meetings or fail to complete tasks</t>
  </si>
  <si>
    <t xml:space="preserve">reduced discord activity or delayed responses from members </t>
  </si>
  <si>
    <t xml:space="preserve">establish weekly check-ins and enforce communication standards </t>
  </si>
  <si>
    <t>reassign tasks to active team members when neccesary</t>
  </si>
  <si>
    <t>19</t>
  </si>
  <si>
    <t>Delaying team meetings</t>
  </si>
  <si>
    <t>This will induce an inorganized team, disrupting work flow and a buggier end product</t>
  </si>
  <si>
    <t>development milesstone begin falling behind schedule</t>
  </si>
  <si>
    <t xml:space="preserve">consecutive deadlines are missed or delayed </t>
  </si>
  <si>
    <t>use progress tracking and redistribute workloads</t>
  </si>
  <si>
    <t>reduce project scope to preserve core deliverables</t>
  </si>
  <si>
    <t>20</t>
  </si>
  <si>
    <t>Delayed reverse image search integration</t>
  </si>
  <si>
    <t xml:space="preserve">This will be a missing end function. </t>
  </si>
  <si>
    <t>reverse image search functionality remains unfinished</t>
  </si>
  <si>
    <t>integration testing repeatedly fails</t>
  </si>
  <si>
    <t>allocate additional development time and debugging resources</t>
  </si>
  <si>
    <t>temporarily release the application without reverse image functionality</t>
  </si>
  <si>
    <t>21</t>
  </si>
  <si>
    <t>Duplicated work because of miscordination</t>
  </si>
  <si>
    <t xml:space="preserve">This will result in overall wasted individual team member time and or confusing information resulting in more wasted time. </t>
  </si>
  <si>
    <t>Schedule</t>
  </si>
  <si>
    <t>duplicate code or repeated tasks appear in development</t>
  </si>
  <si>
    <t xml:space="preserve">team members working on overlapping assignments without cordination </t>
  </si>
  <si>
    <t>improve task tracking and require frequent project updates</t>
  </si>
  <si>
    <t>conduct code reviews and reorganize devolopment assigments</t>
  </si>
  <si>
    <t>22</t>
  </si>
  <si>
    <t>Merge conflicts from sub-teams working on the github repository</t>
  </si>
  <si>
    <t xml:space="preserve">This will result in a buggier end produt because of confusion in workflow. </t>
  </si>
  <si>
    <t>frequent merge conflicts delat repository updates</t>
  </si>
  <si>
    <t>multiple developers modify the same files simultaniously</t>
  </si>
  <si>
    <t>enfore branch management and pull request reviews</t>
  </si>
  <si>
    <t>roll back conflicting changes and manually merga stable versions</t>
  </si>
  <si>
    <t>`</t>
  </si>
  <si>
    <t>Initial Costs</t>
  </si>
  <si>
    <t>Life-cycle Costs</t>
  </si>
  <si>
    <t>Technical Obsolescence</t>
  </si>
  <si>
    <t>Feasibility</t>
  </si>
  <si>
    <t>Dependencies/Interoperability</t>
  </si>
  <si>
    <t>Project Management</t>
  </si>
  <si>
    <t>Business</t>
  </si>
  <si>
    <t>Technology</t>
  </si>
  <si>
    <t>Strategic</t>
  </si>
  <si>
    <t>Security</t>
  </si>
  <si>
    <t>Privacy</t>
  </si>
  <si>
    <t>Project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</si>
</sst>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14">
    <font>
      <sz val="10"/>
      <name val="Arial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4"/>
      <color indexed="9"/>
      <name val="Arial"/>
      <family val="2"/>
    </font>
    <font>
      <sz val="14"/>
      <color indexed="9"/>
      <name val="Arial"/>
      <family val="2"/>
    </font>
    <font>
      <b/>
      <sz val="8"/>
      <color indexed="12"/>
      <name val="Arial"/>
      <family val="2"/>
    </font>
    <font>
      <sz val="8"/>
      <color indexed="9"/>
      <name val="Arial"/>
      <family val="2"/>
    </font>
    <font>
      <b/>
      <sz val="10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vertical="center"/>
    </xf>
    <xf numFmtId="49" fontId="7" fillId="2" borderId="1" xfId="0" applyNumberFormat="1" applyFont="1" applyFill="1" applyBorder="1" applyAlignment="1">
      <alignment vertical="center"/>
    </xf>
    <xf numFmtId="0" fontId="5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top" wrapText="1"/>
    </xf>
    <xf numFmtId="49" fontId="4" fillId="0" borderId="3" xfId="0" applyNumberFormat="1" applyFont="1" applyBorder="1" applyAlignment="1">
      <alignment horizontal="center" vertical="top"/>
    </xf>
    <xf numFmtId="49" fontId="4" fillId="0" borderId="4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0" fontId="6" fillId="3" borderId="10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center" vertical="top" wrapText="1"/>
    </xf>
    <xf numFmtId="49" fontId="6" fillId="0" borderId="12" xfId="0" applyNumberFormat="1" applyFont="1" applyBorder="1" applyAlignment="1">
      <alignment horizontal="center" vertical="top" wrapText="1"/>
    </xf>
    <xf numFmtId="49" fontId="6" fillId="0" borderId="0" xfId="0" applyNumberFormat="1" applyFont="1" applyAlignment="1">
      <alignment horizontal="center" vertical="top" wrapText="1"/>
    </xf>
    <xf numFmtId="49" fontId="6" fillId="0" borderId="13" xfId="0" applyNumberFormat="1" applyFont="1" applyBorder="1" applyAlignment="1">
      <alignment horizontal="center" vertical="top" wrapText="1"/>
    </xf>
    <xf numFmtId="49" fontId="6" fillId="0" borderId="10" xfId="0" applyNumberFormat="1" applyFont="1" applyBorder="1" applyAlignment="1">
      <alignment horizontal="center" vertical="top" wrapText="1"/>
    </xf>
    <xf numFmtId="49" fontId="6" fillId="0" borderId="1" xfId="0" applyNumberFormat="1" applyFont="1" applyBorder="1" applyAlignment="1">
      <alignment horizontal="center" vertical="top" wrapText="1"/>
    </xf>
    <xf numFmtId="49" fontId="10" fillId="2" borderId="15" xfId="0" applyNumberFormat="1" applyFont="1" applyFill="1" applyBorder="1" applyAlignment="1">
      <alignment vertical="center"/>
    </xf>
    <xf numFmtId="49" fontId="10" fillId="2" borderId="15" xfId="0" applyNumberFormat="1" applyFont="1" applyFill="1" applyBorder="1" applyAlignment="1">
      <alignment vertical="center" wrapText="1"/>
    </xf>
    <xf numFmtId="49" fontId="10" fillId="2" borderId="11" xfId="0" applyNumberFormat="1" applyFont="1" applyFill="1" applyBorder="1" applyAlignment="1">
      <alignment vertical="center" wrapText="1"/>
    </xf>
    <xf numFmtId="0" fontId="6" fillId="0" borderId="6" xfId="0" applyFont="1" applyBorder="1" applyAlignment="1">
      <alignment vertical="top" wrapText="1"/>
    </xf>
    <xf numFmtId="49" fontId="5" fillId="0" borderId="0" xfId="0" applyNumberFormat="1" applyFont="1" applyAlignment="1">
      <alignment wrapText="1"/>
    </xf>
    <xf numFmtId="0" fontId="9" fillId="0" borderId="9" xfId="0" applyFont="1" applyBorder="1" applyAlignment="1">
      <alignment horizontal="left" vertical="top" wrapText="1"/>
    </xf>
    <xf numFmtId="0" fontId="9" fillId="0" borderId="24" xfId="0" applyFont="1" applyBorder="1" applyAlignment="1">
      <alignment horizontal="left" vertical="top" wrapText="1"/>
    </xf>
    <xf numFmtId="164" fontId="6" fillId="4" borderId="25" xfId="0" applyNumberFormat="1" applyFont="1" applyFill="1" applyBorder="1" applyAlignment="1">
      <alignment horizontal="center" vertical="center" wrapText="1"/>
    </xf>
    <xf numFmtId="49" fontId="6" fillId="4" borderId="26" xfId="0" applyNumberFormat="1" applyFont="1" applyFill="1" applyBorder="1" applyAlignment="1">
      <alignment horizontal="center" vertical="center"/>
    </xf>
    <xf numFmtId="49" fontId="6" fillId="4" borderId="25" xfId="0" applyNumberFormat="1" applyFont="1" applyFill="1" applyBorder="1" applyAlignment="1">
      <alignment horizontal="center" vertical="center" wrapText="1"/>
    </xf>
    <xf numFmtId="0" fontId="11" fillId="3" borderId="26" xfId="0" applyFont="1" applyFill="1" applyBorder="1"/>
    <xf numFmtId="0" fontId="0" fillId="0" borderId="6" xfId="0" applyBorder="1"/>
    <xf numFmtId="0" fontId="6" fillId="4" borderId="25" xfId="0" applyFont="1" applyFill="1" applyBorder="1" applyAlignment="1">
      <alignment horizontal="center" vertical="center" wrapText="1"/>
    </xf>
    <xf numFmtId="0" fontId="6" fillId="0" borderId="30" xfId="0" applyFont="1" applyBorder="1" applyAlignment="1">
      <alignment vertical="top" wrapText="1"/>
    </xf>
    <xf numFmtId="0" fontId="6" fillId="0" borderId="19" xfId="0" applyFont="1" applyBorder="1" applyAlignment="1">
      <alignment vertical="top" wrapText="1"/>
    </xf>
    <xf numFmtId="49" fontId="6" fillId="4" borderId="31" xfId="0" applyNumberFormat="1" applyFont="1" applyFill="1" applyBorder="1" applyAlignment="1">
      <alignment horizontal="center" vertical="center" wrapText="1"/>
    </xf>
    <xf numFmtId="49" fontId="6" fillId="0" borderId="32" xfId="0" applyNumberFormat="1" applyFont="1" applyBorder="1" applyAlignment="1">
      <alignment horizontal="center" vertical="top" wrapText="1"/>
    </xf>
    <xf numFmtId="0" fontId="9" fillId="0" borderId="33" xfId="0" applyFont="1" applyBorder="1" applyAlignment="1">
      <alignment horizontal="left" vertical="top" wrapText="1"/>
    </xf>
    <xf numFmtId="0" fontId="6" fillId="0" borderId="7" xfId="0" applyFont="1" applyBorder="1" applyAlignment="1">
      <alignment vertical="top" wrapText="1"/>
    </xf>
    <xf numFmtId="0" fontId="6" fillId="0" borderId="34" xfId="0" applyFont="1" applyBorder="1" applyAlignment="1">
      <alignment vertical="top" wrapText="1"/>
    </xf>
    <xf numFmtId="0" fontId="6" fillId="0" borderId="22" xfId="0" applyFont="1" applyBorder="1" applyAlignment="1">
      <alignment vertical="top" wrapText="1"/>
    </xf>
    <xf numFmtId="0" fontId="6" fillId="3" borderId="35" xfId="0" applyFont="1" applyFill="1" applyBorder="1" applyAlignment="1">
      <alignment horizontal="center" vertical="top" wrapText="1"/>
    </xf>
    <xf numFmtId="0" fontId="3" fillId="0" borderId="8" xfId="0" applyFont="1" applyBorder="1" applyAlignment="1">
      <alignment vertical="top" wrapText="1"/>
    </xf>
    <xf numFmtId="0" fontId="3" fillId="0" borderId="9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10" xfId="0" applyFont="1" applyBorder="1" applyAlignment="1">
      <alignment vertical="top" wrapText="1"/>
    </xf>
    <xf numFmtId="49" fontId="3" fillId="3" borderId="1" xfId="0" applyNumberFormat="1" applyFont="1" applyFill="1" applyBorder="1" applyAlignment="1">
      <alignment vertical="center"/>
    </xf>
    <xf numFmtId="49" fontId="3" fillId="3" borderId="15" xfId="0" applyNumberFormat="1" applyFont="1" applyFill="1" applyBorder="1" applyAlignment="1">
      <alignment vertical="center"/>
    </xf>
    <xf numFmtId="49" fontId="3" fillId="0" borderId="13" xfId="0" applyNumberFormat="1" applyFont="1" applyBorder="1" applyAlignment="1">
      <alignment vertical="center" wrapText="1"/>
    </xf>
    <xf numFmtId="49" fontId="3" fillId="0" borderId="16" xfId="0" applyNumberFormat="1" applyFont="1" applyBorder="1" applyAlignment="1">
      <alignment vertical="center" wrapText="1"/>
    </xf>
    <xf numFmtId="0" fontId="3" fillId="0" borderId="16" xfId="0" applyFont="1" applyBorder="1" applyAlignment="1">
      <alignment vertical="center"/>
    </xf>
    <xf numFmtId="49" fontId="3" fillId="0" borderId="0" xfId="0" applyNumberFormat="1" applyFont="1" applyAlignment="1">
      <alignment vertical="center" wrapText="1"/>
    </xf>
    <xf numFmtId="49" fontId="3" fillId="3" borderId="2" xfId="0" applyNumberFormat="1" applyFont="1" applyFill="1" applyBorder="1" applyAlignment="1">
      <alignment vertical="center"/>
    </xf>
    <xf numFmtId="49" fontId="3" fillId="3" borderId="17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49" fontId="3" fillId="0" borderId="18" xfId="0" applyNumberFormat="1" applyFont="1" applyBorder="1" applyAlignment="1">
      <alignment vertical="center" wrapText="1"/>
    </xf>
    <xf numFmtId="49" fontId="3" fillId="3" borderId="11" xfId="0" applyNumberFormat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top"/>
    </xf>
    <xf numFmtId="49" fontId="3" fillId="0" borderId="14" xfId="0" applyNumberFormat="1" applyFont="1" applyBorder="1" applyAlignment="1">
      <alignment horizontal="center" vertical="top"/>
    </xf>
    <xf numFmtId="0" fontId="3" fillId="0" borderId="14" xfId="0" applyFont="1" applyBorder="1" applyAlignment="1">
      <alignment horizontal="center" vertical="top"/>
    </xf>
    <xf numFmtId="0" fontId="3" fillId="0" borderId="19" xfId="0" applyFont="1" applyBorder="1" applyAlignment="1">
      <alignment vertical="top" wrapText="1"/>
    </xf>
    <xf numFmtId="0" fontId="3" fillId="0" borderId="22" xfId="0" applyFont="1" applyBorder="1" applyAlignment="1">
      <alignment horizontal="center" vertical="top" wrapText="1"/>
    </xf>
    <xf numFmtId="49" fontId="3" fillId="0" borderId="29" xfId="0" applyNumberFormat="1" applyFont="1" applyBorder="1" applyAlignment="1">
      <alignment horizontal="center" vertical="top"/>
    </xf>
    <xf numFmtId="0" fontId="3" fillId="0" borderId="22" xfId="0" applyFont="1" applyBorder="1" applyAlignment="1">
      <alignment vertical="top" wrapText="1"/>
    </xf>
    <xf numFmtId="0" fontId="3" fillId="0" borderId="20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0" borderId="21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/>
    </xf>
    <xf numFmtId="49" fontId="3" fillId="0" borderId="27" xfId="0" applyNumberFormat="1" applyFont="1" applyBorder="1" applyAlignment="1">
      <alignment horizontal="center" vertical="top"/>
    </xf>
    <xf numFmtId="0" fontId="3" fillId="0" borderId="7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23" xfId="0" applyFont="1" applyBorder="1" applyAlignment="1">
      <alignment vertical="top" wrapText="1"/>
    </xf>
    <xf numFmtId="49" fontId="3" fillId="0" borderId="0" xfId="0" applyNumberFormat="1" applyFont="1" applyAlignment="1">
      <alignment horizontal="center"/>
    </xf>
    <xf numFmtId="49" fontId="3" fillId="0" borderId="0" xfId="0" applyNumberFormat="1" applyFont="1" applyAlignment="1">
      <alignment wrapText="1"/>
    </xf>
    <xf numFmtId="49" fontId="12" fillId="2" borderId="17" xfId="0" applyNumberFormat="1" applyFont="1" applyFill="1" applyBorder="1" applyAlignment="1">
      <alignment horizontal="center" vertical="top" wrapText="1"/>
    </xf>
    <xf numFmtId="0" fontId="13" fillId="2" borderId="17" xfId="0" applyFont="1" applyFill="1" applyBorder="1" applyAlignment="1">
      <alignment horizontal="center" vertical="top" wrapText="1"/>
    </xf>
  </cellXfs>
  <cellStyles count="1">
    <cellStyle name="Normal" xfId="0" builtinId="0"/>
  </cellStyles>
  <dxfs count="9">
    <dxf>
      <fill>
        <patternFill>
          <bgColor indexed="42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  <dxf>
      <fill>
        <patternFill>
          <bgColor indexed="42"/>
        </patternFill>
      </fill>
    </dxf>
    <dxf>
      <fill>
        <patternFill>
          <bgColor indexed="43"/>
        </patternFill>
      </fill>
    </dxf>
    <dxf>
      <fill>
        <patternFill>
          <bgColor indexed="45"/>
        </patternFill>
      </fill>
    </dxf>
    <dxf>
      <fill>
        <patternFill>
          <bgColor indexed="43"/>
        </patternFill>
      </fill>
    </dxf>
    <dxf>
      <fill>
        <patternFill>
          <bgColor indexed="47"/>
        </patternFill>
      </fill>
    </dxf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Documents%20and%20Settings/eze3/Local%20Settings/Temporary%20Internet%20Files/OLK23B/CDC_UP_Risk_Management_Log_Template_v1%201.xls" TargetMode="External"/><Relationship Id="rId1" Type="http://schemas.openxmlformats.org/officeDocument/2006/relationships/externalLinkPath" Target="/Documents%20and%20Settings/eze3/Local%20Settings/Temporary%20Internet%20Files/OLK23B/CDC_UP_Risk_Management_Log_Template_v1%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Risk_Tracking_Log"/>
      <sheetName val="DropDown_Elements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A8F3-EE62-4065-B116-52B6BDE11891}">
  <dimension ref="A1:B25"/>
  <sheetViews>
    <sheetView workbookViewId="0">
      <selection sqref="A1:B1"/>
    </sheetView>
  </sheetViews>
  <sheetFormatPr defaultRowHeight="11.25"/>
  <cols>
    <col min="1" max="1" width="7.140625" style="14" bestFit="1" customWidth="1"/>
    <col min="2" max="2" width="93" style="7" customWidth="1"/>
    <col min="3" max="16384" width="9.140625" style="7"/>
  </cols>
  <sheetData>
    <row r="1" spans="1:2" ht="13.5" thickBot="1">
      <c r="A1" s="77" t="str">
        <f>Risk_Tracking_Log!A1</f>
        <v>RISK MANAGEMENT LOG</v>
      </c>
      <c r="B1" s="78"/>
    </row>
    <row r="2" spans="1:2" ht="12" thickBot="1">
      <c r="A2" s="39" t="s">
        <v>0</v>
      </c>
      <c r="B2" s="12" t="s">
        <v>1</v>
      </c>
    </row>
    <row r="3" spans="1:2">
      <c r="A3" s="15"/>
      <c r="B3" s="40" t="s">
        <v>2</v>
      </c>
    </row>
    <row r="4" spans="1:2">
      <c r="A4" s="13"/>
      <c r="B4" s="41" t="s">
        <v>3</v>
      </c>
    </row>
    <row r="5" spans="1:2">
      <c r="A5" s="13" t="s">
        <v>4</v>
      </c>
      <c r="B5" s="23" t="s">
        <v>5</v>
      </c>
    </row>
    <row r="6" spans="1:2" ht="45">
      <c r="A6" s="13" t="s">
        <v>6</v>
      </c>
      <c r="B6" s="23" t="s">
        <v>7</v>
      </c>
    </row>
    <row r="7" spans="1:2" ht="67.5">
      <c r="A7" s="13" t="s">
        <v>8</v>
      </c>
      <c r="B7" s="23" t="s">
        <v>9</v>
      </c>
    </row>
    <row r="8" spans="1:2" ht="22.5">
      <c r="A8" s="13" t="s">
        <v>10</v>
      </c>
      <c r="B8" s="24" t="s">
        <v>11</v>
      </c>
    </row>
    <row r="9" spans="1:2" ht="56.25">
      <c r="A9" s="13" t="s">
        <v>12</v>
      </c>
      <c r="B9" s="23" t="s">
        <v>13</v>
      </c>
    </row>
    <row r="10" spans="1:2">
      <c r="A10" s="13" t="s">
        <v>14</v>
      </c>
      <c r="B10" s="23" t="s">
        <v>15</v>
      </c>
    </row>
    <row r="11" spans="1:2">
      <c r="A11" s="13" t="s">
        <v>16</v>
      </c>
      <c r="B11" s="23" t="s">
        <v>17</v>
      </c>
    </row>
    <row r="12" spans="1:2">
      <c r="A12" s="13" t="s">
        <v>18</v>
      </c>
      <c r="B12" s="23" t="s">
        <v>19</v>
      </c>
    </row>
    <row r="13" spans="1:2" ht="22.5">
      <c r="A13" s="13" t="s">
        <v>20</v>
      </c>
      <c r="B13" s="23" t="s">
        <v>21</v>
      </c>
    </row>
    <row r="14" spans="1:2">
      <c r="A14" s="13" t="s">
        <v>22</v>
      </c>
      <c r="B14" s="23" t="s">
        <v>23</v>
      </c>
    </row>
    <row r="15" spans="1:2">
      <c r="A15" s="13" t="s">
        <v>24</v>
      </c>
      <c r="B15" s="23" t="s">
        <v>25</v>
      </c>
    </row>
    <row r="16" spans="1:2" ht="22.5">
      <c r="A16" s="13" t="s">
        <v>26</v>
      </c>
      <c r="B16" s="23" t="s">
        <v>27</v>
      </c>
    </row>
    <row r="17" spans="1:2" ht="12" thickBot="1">
      <c r="A17" s="34" t="s">
        <v>28</v>
      </c>
      <c r="B17" s="35" t="s">
        <v>29</v>
      </c>
    </row>
    <row r="19" spans="1:2" ht="12" thickBot="1">
      <c r="B19" s="42"/>
    </row>
    <row r="20" spans="1:2" ht="12" thickBot="1">
      <c r="A20" s="11" t="s">
        <v>0</v>
      </c>
      <c r="B20" s="12" t="s">
        <v>30</v>
      </c>
    </row>
    <row r="21" spans="1:2" ht="34.5" thickBot="1">
      <c r="A21" s="16" t="s">
        <v>31</v>
      </c>
      <c r="B21" s="43" t="s">
        <v>32</v>
      </c>
    </row>
    <row r="23" spans="1:2" ht="12" thickBot="1">
      <c r="B23" s="42"/>
    </row>
    <row r="24" spans="1:2" ht="12" thickBot="1">
      <c r="A24" s="11" t="s">
        <v>0</v>
      </c>
      <c r="B24" s="12" t="s">
        <v>33</v>
      </c>
    </row>
    <row r="25" spans="1:2" ht="57" thickBot="1">
      <c r="A25" s="17" t="s">
        <v>34</v>
      </c>
      <c r="B25" s="43" t="s">
        <v>35</v>
      </c>
    </row>
  </sheetData>
  <mergeCells count="1">
    <mergeCell ref="A1:B1"/>
  </mergeCells>
  <phoneticPr fontId="3" type="noConversion"/>
  <printOptions horizontalCentered="1"/>
  <pageMargins left="0.25" right="0.25" top="0.25" bottom="0.25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F1880-EC88-4F1D-8CC5-B080791AA6D9}">
  <dimension ref="A1:U35"/>
  <sheetViews>
    <sheetView tabSelected="1" zoomScale="85" workbookViewId="0">
      <selection activeCell="L32" sqref="L32"/>
    </sheetView>
  </sheetViews>
  <sheetFormatPr defaultRowHeight="12.75"/>
  <cols>
    <col min="1" max="1" width="3.140625" style="4" customWidth="1"/>
    <col min="2" max="2" width="11.42578125" style="5" bestFit="1" customWidth="1"/>
    <col min="3" max="3" width="10.5703125" style="5" bestFit="1" customWidth="1"/>
    <col min="4" max="4" width="15.5703125" style="5" bestFit="1" customWidth="1"/>
    <col min="5" max="5" width="5.85546875" style="5" bestFit="1" customWidth="1"/>
    <col min="6" max="7" width="34" style="22" customWidth="1"/>
    <col min="8" max="8" width="22.140625" style="22" bestFit="1" customWidth="1"/>
    <col min="9" max="10" width="30.85546875" style="22" customWidth="1"/>
    <col min="11" max="11" width="12.85546875" style="22" bestFit="1" customWidth="1"/>
    <col min="12" max="13" width="30.85546875" style="22" customWidth="1"/>
    <col min="15" max="15" width="6" customWidth="1"/>
  </cols>
  <sheetData>
    <row r="1" spans="1:21" s="6" customFormat="1" ht="18.75" thickBot="1">
      <c r="A1" s="2" t="s">
        <v>36</v>
      </c>
      <c r="B1" s="18"/>
      <c r="C1" s="18"/>
      <c r="D1" s="18"/>
      <c r="E1" s="18"/>
      <c r="F1" s="19"/>
      <c r="G1" s="19"/>
      <c r="H1" s="19"/>
      <c r="I1" s="2" t="s">
        <v>36</v>
      </c>
      <c r="J1" s="20"/>
      <c r="K1" s="20"/>
      <c r="L1" s="20"/>
      <c r="M1" s="20"/>
    </row>
    <row r="2" spans="1:21" s="1" customFormat="1">
      <c r="A2" s="44" t="s">
        <v>37</v>
      </c>
      <c r="B2" s="45"/>
      <c r="C2" s="45"/>
      <c r="D2" s="46" t="s">
        <v>38</v>
      </c>
      <c r="E2" s="47"/>
      <c r="F2" s="48"/>
      <c r="G2" s="47"/>
      <c r="H2" s="47"/>
      <c r="I2" s="44" t="str">
        <f>A2</f>
        <v>Project Name:</v>
      </c>
      <c r="J2" s="46" t="str">
        <f>D2</f>
        <v>HawkEye Osint</v>
      </c>
      <c r="K2" s="49"/>
    </row>
    <row r="3" spans="1:21" s="1" customFormat="1">
      <c r="A3" s="50" t="s">
        <v>39</v>
      </c>
      <c r="B3" s="51"/>
      <c r="C3" s="51"/>
      <c r="D3" s="53" t="s">
        <v>40</v>
      </c>
      <c r="E3" s="49"/>
      <c r="F3" s="52"/>
      <c r="G3" s="49"/>
      <c r="H3" s="49"/>
      <c r="I3" s="50" t="str">
        <f>A3</f>
        <v>Project Manager Name:</v>
      </c>
      <c r="J3" s="53" t="s">
        <v>40</v>
      </c>
      <c r="K3" s="49"/>
    </row>
    <row r="4" spans="1:21" s="1" customFormat="1" ht="13.5" thickBot="1">
      <c r="A4" s="50" t="s">
        <v>41</v>
      </c>
      <c r="B4" s="45"/>
      <c r="C4" s="54"/>
      <c r="D4" s="55" t="s">
        <v>42</v>
      </c>
      <c r="E4" s="56"/>
      <c r="F4" s="56"/>
      <c r="G4" s="56"/>
      <c r="H4" s="56"/>
      <c r="I4" s="50" t="str">
        <f>A4</f>
        <v>Project Description:</v>
      </c>
      <c r="J4" s="55" t="str">
        <f>D4</f>
        <v>&lt;required&gt;</v>
      </c>
      <c r="K4" s="56"/>
      <c r="L4" s="56"/>
      <c r="M4" s="57"/>
    </row>
    <row r="5" spans="1:21" s="3" customFormat="1" ht="23.25" thickBot="1">
      <c r="A5" s="26" t="s">
        <v>43</v>
      </c>
      <c r="B5" s="27" t="s">
        <v>44</v>
      </c>
      <c r="C5" s="27" t="s">
        <v>45</v>
      </c>
      <c r="D5" s="25" t="s">
        <v>46</v>
      </c>
      <c r="E5" s="25" t="s">
        <v>47</v>
      </c>
      <c r="F5" s="27" t="s">
        <v>48</v>
      </c>
      <c r="G5" s="27" t="s">
        <v>49</v>
      </c>
      <c r="H5" s="30" t="s">
        <v>50</v>
      </c>
      <c r="I5" s="25" t="s">
        <v>51</v>
      </c>
      <c r="J5" s="25" t="s">
        <v>52</v>
      </c>
      <c r="K5" s="25" t="s">
        <v>53</v>
      </c>
      <c r="L5" s="27" t="s">
        <v>54</v>
      </c>
      <c r="M5" s="33" t="s">
        <v>55</v>
      </c>
      <c r="N5" s="58"/>
      <c r="O5" s="58"/>
      <c r="P5" s="58"/>
      <c r="Q5" s="58"/>
      <c r="R5" s="58"/>
      <c r="S5" s="58"/>
      <c r="T5" s="58"/>
      <c r="U5" s="58"/>
    </row>
    <row r="6" spans="1:21" ht="91.5">
      <c r="A6" s="8" t="s">
        <v>56</v>
      </c>
      <c r="B6" s="59" t="s">
        <v>57</v>
      </c>
      <c r="C6" s="60" t="s">
        <v>58</v>
      </c>
      <c r="D6" s="60" t="s">
        <v>59</v>
      </c>
      <c r="E6" s="61" t="str">
        <f>IF(OR(AND(B6&lt;&gt;"Closed",C6="High",D6="High"),AND(B6&lt;&gt;"Closed",C6="High",D6="Medium"),AND(B6&lt;&gt;"Closed",C6="Medium",D6="High")),"Red",IF(OR(AND(B6&lt;&gt;"Closed",C6="High",D6="Low"),AND(B6&lt;&gt;"Closed",C6="Medium",D6="Medium"),AND(B6&lt;&gt;"Closed",C6="Low",D6="High")),"Yellow",IF(OR(AND(B6&lt;&gt;"Closed",C6="Medium",D6="Low"),AND(B6&lt;&gt;"Closed",C6="Low",D6="Low"),AND(B6&lt;&gt;"Closed",C6="Low",D6="Medium")),"Green",IF(B6="Closed","Closed",""))))</f>
        <v>Yellow</v>
      </c>
      <c r="F6" s="21" t="s">
        <v>60</v>
      </c>
      <c r="G6" s="21" t="s">
        <v>61</v>
      </c>
      <c r="H6" s="62" t="s">
        <v>62</v>
      </c>
      <c r="I6" s="21" t="s">
        <v>63</v>
      </c>
      <c r="J6" s="21" t="s">
        <v>64</v>
      </c>
      <c r="K6" s="63" t="s">
        <v>65</v>
      </c>
      <c r="L6" s="21" t="s">
        <v>66</v>
      </c>
      <c r="M6" s="31" t="s">
        <v>67</v>
      </c>
      <c r="O6" t="str">
        <f>IF(OR(AND(B6&lt;&gt;"Closed",C6="High",E6="High"), AND(B6&lt;&gt;"Closed",C6="High", E6="Medium"),AND(B6&lt;&gt;"Closed",C6="Medium",E6="High")),"Red",IF(OR(AND(B6&lt;&gt;"Closed",C6="High",E6="Low"), AND(B6&lt;&gt;"Closed",C6="Medium", E6="Medium"),AND(B6&lt;&gt;"Closed",C6="Low",E6="High")),"Yellow",IF(OR(AND(B6&lt;&gt;"Closed",C6="Medium",E6="Low"), AND(B6&lt;&gt;"Closed",C6="Low", E6="Low"),AND(B6&lt;&gt;"Closed",C6="Low",E6="Medium")),"Green","")))</f>
        <v/>
      </c>
    </row>
    <row r="7" spans="1:21" ht="20.25">
      <c r="A7" s="8" t="s">
        <v>68</v>
      </c>
      <c r="B7" s="59" t="s">
        <v>69</v>
      </c>
      <c r="C7" s="60" t="s">
        <v>58</v>
      </c>
      <c r="D7" s="64" t="s">
        <v>59</v>
      </c>
      <c r="E7" s="61" t="str">
        <f t="shared" ref="E7:E28" si="0">IF(OR(AND(B7&lt;&gt;"Closed",C7="High",D7="High"),AND(B7&lt;&gt;"Closed",C7="High",D7="Medium"),AND(B7&lt;&gt;"Closed",C7="Medium",D7="High")),"Red",IF(OR(AND(B7&lt;&gt;"Closed",C7="High",D7="Low"),AND(B7&lt;&gt;"Closed",C7="Medium",D7="Medium"),AND(B7&lt;&gt;"Closed",C7="Low",D7="High")),"Yellow",IF(OR(AND(B7&lt;&gt;"Closed",C7="Medium",D7="Low"),AND(B7&lt;&gt;"Closed",C7="Low",D7="Low"),AND(B7&lt;&gt;"Closed",C7="Low",D7="Medium")),"Green",IF(B7="Closed","Closed",""))))</f>
        <v>Closed</v>
      </c>
      <c r="F7" s="65" t="s">
        <v>70</v>
      </c>
      <c r="G7" s="62" t="s">
        <v>71</v>
      </c>
      <c r="H7" s="62" t="s">
        <v>72</v>
      </c>
      <c r="I7" s="65" t="s">
        <v>73</v>
      </c>
      <c r="J7" s="62" t="s">
        <v>74</v>
      </c>
      <c r="K7" s="63" t="s">
        <v>65</v>
      </c>
      <c r="L7" s="66" t="s">
        <v>75</v>
      </c>
      <c r="M7" s="66" t="s">
        <v>76</v>
      </c>
    </row>
    <row r="8" spans="1:21" ht="20.25">
      <c r="A8" s="9" t="s">
        <v>77</v>
      </c>
      <c r="B8" s="59" t="s">
        <v>69</v>
      </c>
      <c r="C8" s="60" t="s">
        <v>58</v>
      </c>
      <c r="D8" s="60" t="s">
        <v>59</v>
      </c>
      <c r="E8" s="61" t="str">
        <f t="shared" si="0"/>
        <v>Closed</v>
      </c>
      <c r="F8" s="67" t="s">
        <v>78</v>
      </c>
      <c r="G8" s="62" t="s">
        <v>79</v>
      </c>
      <c r="H8" s="62" t="s">
        <v>72</v>
      </c>
      <c r="I8" s="65" t="s">
        <v>80</v>
      </c>
      <c r="J8" s="32" t="s">
        <v>81</v>
      </c>
      <c r="K8" s="63" t="s">
        <v>82</v>
      </c>
      <c r="L8" s="68" t="s">
        <v>83</v>
      </c>
      <c r="M8" s="68" t="s">
        <v>84</v>
      </c>
    </row>
    <row r="9" spans="1:21" ht="30.75">
      <c r="A9" s="9" t="s">
        <v>85</v>
      </c>
      <c r="B9" s="59" t="s">
        <v>57</v>
      </c>
      <c r="C9" s="60" t="s">
        <v>86</v>
      </c>
      <c r="D9" s="60" t="s">
        <v>86</v>
      </c>
      <c r="E9" s="61" t="str">
        <f t="shared" si="0"/>
        <v>Yellow</v>
      </c>
      <c r="F9" s="67" t="s">
        <v>87</v>
      </c>
      <c r="G9" s="62" t="s">
        <v>88</v>
      </c>
      <c r="H9" s="62" t="s">
        <v>89</v>
      </c>
      <c r="I9" s="65" t="s">
        <v>90</v>
      </c>
      <c r="J9" s="32" t="s">
        <v>91</v>
      </c>
      <c r="K9" s="63" t="s">
        <v>92</v>
      </c>
      <c r="L9" s="68" t="s">
        <v>93</v>
      </c>
      <c r="M9" s="68" t="s">
        <v>94</v>
      </c>
    </row>
    <row r="10" spans="1:21" ht="20.25">
      <c r="A10" s="9" t="s">
        <v>95</v>
      </c>
      <c r="B10" s="59" t="s">
        <v>57</v>
      </c>
      <c r="C10" s="60" t="s">
        <v>58</v>
      </c>
      <c r="D10" s="60" t="s">
        <v>86</v>
      </c>
      <c r="E10" s="61" t="str">
        <f t="shared" si="0"/>
        <v>Red</v>
      </c>
      <c r="F10" s="67" t="s">
        <v>96</v>
      </c>
      <c r="G10" s="62" t="s">
        <v>97</v>
      </c>
      <c r="H10" s="62" t="s">
        <v>98</v>
      </c>
      <c r="I10" s="65" t="s">
        <v>99</v>
      </c>
      <c r="J10" s="32" t="s">
        <v>100</v>
      </c>
      <c r="K10" s="63" t="s">
        <v>82</v>
      </c>
      <c r="L10" s="68" t="s">
        <v>101</v>
      </c>
      <c r="M10" s="68" t="s">
        <v>102</v>
      </c>
    </row>
    <row r="11" spans="1:21" ht="20.25">
      <c r="A11" s="9" t="s">
        <v>103</v>
      </c>
      <c r="B11" s="59" t="s">
        <v>57</v>
      </c>
      <c r="C11" s="60" t="s">
        <v>59</v>
      </c>
      <c r="D11" s="60" t="s">
        <v>59</v>
      </c>
      <c r="E11" s="61" t="str">
        <f t="shared" si="0"/>
        <v>Green</v>
      </c>
      <c r="F11" s="67" t="s">
        <v>104</v>
      </c>
      <c r="G11" s="62" t="s">
        <v>105</v>
      </c>
      <c r="H11" s="62" t="s">
        <v>106</v>
      </c>
      <c r="I11" s="65" t="s">
        <v>107</v>
      </c>
      <c r="J11" s="32" t="s">
        <v>108</v>
      </c>
      <c r="K11" s="63" t="s">
        <v>109</v>
      </c>
      <c r="L11" s="68" t="s">
        <v>110</v>
      </c>
      <c r="M11" s="68" t="s">
        <v>111</v>
      </c>
    </row>
    <row r="12" spans="1:21" ht="20.25">
      <c r="A12" s="9" t="s">
        <v>112</v>
      </c>
      <c r="B12" s="59" t="s">
        <v>57</v>
      </c>
      <c r="C12" s="60" t="s">
        <v>86</v>
      </c>
      <c r="D12" s="60" t="s">
        <v>59</v>
      </c>
      <c r="E12" s="61" t="str">
        <f t="shared" si="0"/>
        <v>Green</v>
      </c>
      <c r="F12" s="67" t="s">
        <v>113</v>
      </c>
      <c r="G12" s="62" t="s">
        <v>114</v>
      </c>
      <c r="H12" s="62" t="s">
        <v>89</v>
      </c>
      <c r="I12" s="65" t="s">
        <v>115</v>
      </c>
      <c r="J12" s="32" t="s">
        <v>116</v>
      </c>
      <c r="K12" s="63" t="s">
        <v>65</v>
      </c>
      <c r="L12" s="68" t="s">
        <v>117</v>
      </c>
      <c r="M12" s="68" t="s">
        <v>118</v>
      </c>
    </row>
    <row r="13" spans="1:21" ht="20.25">
      <c r="A13" s="9" t="s">
        <v>119</v>
      </c>
      <c r="B13" s="59" t="s">
        <v>57</v>
      </c>
      <c r="C13" s="60" t="s">
        <v>86</v>
      </c>
      <c r="D13" s="60" t="s">
        <v>58</v>
      </c>
      <c r="E13" s="61" t="str">
        <f t="shared" si="0"/>
        <v>Red</v>
      </c>
      <c r="F13" s="67" t="s">
        <v>120</v>
      </c>
      <c r="G13" s="62" t="s">
        <v>121</v>
      </c>
      <c r="H13" s="62" t="s">
        <v>106</v>
      </c>
      <c r="I13" s="65" t="s">
        <v>122</v>
      </c>
      <c r="J13" s="32" t="s">
        <v>123</v>
      </c>
      <c r="K13" s="63" t="s">
        <v>92</v>
      </c>
      <c r="L13" s="68" t="s">
        <v>124</v>
      </c>
      <c r="M13" s="68" t="s">
        <v>125</v>
      </c>
    </row>
    <row r="14" spans="1:21" ht="30.75">
      <c r="A14" s="9" t="s">
        <v>126</v>
      </c>
      <c r="B14" s="59" t="s">
        <v>57</v>
      </c>
      <c r="C14" s="60" t="s">
        <v>58</v>
      </c>
      <c r="D14" s="60" t="s">
        <v>59</v>
      </c>
      <c r="E14" s="61" t="str">
        <f t="shared" si="0"/>
        <v>Yellow</v>
      </c>
      <c r="F14" s="67" t="s">
        <v>127</v>
      </c>
      <c r="G14" s="62" t="s">
        <v>128</v>
      </c>
      <c r="H14" s="62" t="s">
        <v>106</v>
      </c>
      <c r="I14" s="65" t="s">
        <v>129</v>
      </c>
      <c r="J14" s="32" t="s">
        <v>130</v>
      </c>
      <c r="K14" s="63" t="s">
        <v>82</v>
      </c>
      <c r="L14" s="68" t="s">
        <v>131</v>
      </c>
      <c r="M14" s="68" t="s">
        <v>132</v>
      </c>
    </row>
    <row r="15" spans="1:21" ht="20.25">
      <c r="A15" s="9" t="s">
        <v>133</v>
      </c>
      <c r="B15" s="59" t="s">
        <v>57</v>
      </c>
      <c r="C15" s="60" t="s">
        <v>86</v>
      </c>
      <c r="D15" s="60" t="s">
        <v>59</v>
      </c>
      <c r="E15" s="61" t="str">
        <f t="shared" si="0"/>
        <v>Green</v>
      </c>
      <c r="F15" s="67" t="s">
        <v>134</v>
      </c>
      <c r="G15" s="62" t="s">
        <v>135</v>
      </c>
      <c r="H15" s="62" t="s">
        <v>136</v>
      </c>
      <c r="I15" s="65" t="s">
        <v>137</v>
      </c>
      <c r="J15" s="32" t="s">
        <v>138</v>
      </c>
      <c r="K15" s="63" t="s">
        <v>92</v>
      </c>
      <c r="L15" s="68" t="s">
        <v>139</v>
      </c>
      <c r="M15" s="68" t="s">
        <v>140</v>
      </c>
    </row>
    <row r="16" spans="1:21" ht="41.25">
      <c r="A16" s="9" t="s">
        <v>141</v>
      </c>
      <c r="B16" s="59" t="s">
        <v>57</v>
      </c>
      <c r="C16" s="60" t="s">
        <v>86</v>
      </c>
      <c r="D16" s="60" t="s">
        <v>86</v>
      </c>
      <c r="E16" s="61" t="str">
        <f t="shared" si="0"/>
        <v>Yellow</v>
      </c>
      <c r="F16" s="67" t="s">
        <v>142</v>
      </c>
      <c r="G16" s="62" t="s">
        <v>143</v>
      </c>
      <c r="H16" s="62" t="s">
        <v>89</v>
      </c>
      <c r="I16" s="65" t="s">
        <v>144</v>
      </c>
      <c r="J16" s="32" t="s">
        <v>145</v>
      </c>
      <c r="K16" s="63" t="s">
        <v>146</v>
      </c>
      <c r="L16" s="68" t="s">
        <v>147</v>
      </c>
      <c r="M16" s="68" t="s">
        <v>148</v>
      </c>
    </row>
    <row r="17" spans="1:13" ht="20.25">
      <c r="A17" s="9" t="s">
        <v>149</v>
      </c>
      <c r="B17" s="59" t="s">
        <v>57</v>
      </c>
      <c r="C17" s="60" t="s">
        <v>86</v>
      </c>
      <c r="D17" s="60" t="s">
        <v>86</v>
      </c>
      <c r="E17" s="61" t="str">
        <f t="shared" si="0"/>
        <v>Yellow</v>
      </c>
      <c r="F17" s="67" t="s">
        <v>150</v>
      </c>
      <c r="G17" s="62" t="s">
        <v>151</v>
      </c>
      <c r="H17" s="62" t="s">
        <v>89</v>
      </c>
      <c r="I17" s="65" t="s">
        <v>152</v>
      </c>
      <c r="J17" s="32" t="s">
        <v>153</v>
      </c>
      <c r="K17" s="63" t="s">
        <v>82</v>
      </c>
      <c r="L17" s="68" t="s">
        <v>154</v>
      </c>
      <c r="M17" s="68" t="s">
        <v>155</v>
      </c>
    </row>
    <row r="18" spans="1:13" ht="41.25">
      <c r="A18" s="9" t="s">
        <v>156</v>
      </c>
      <c r="B18" s="59" t="s">
        <v>57</v>
      </c>
      <c r="C18" s="60" t="s">
        <v>58</v>
      </c>
      <c r="D18" s="60" t="s">
        <v>59</v>
      </c>
      <c r="E18" s="61" t="str">
        <f t="shared" si="0"/>
        <v>Yellow</v>
      </c>
      <c r="F18" s="67" t="s">
        <v>157</v>
      </c>
      <c r="G18" s="62" t="s">
        <v>158</v>
      </c>
      <c r="H18" s="62" t="s">
        <v>98</v>
      </c>
      <c r="I18" s="65" t="s">
        <v>159</v>
      </c>
      <c r="J18" s="32" t="s">
        <v>160</v>
      </c>
      <c r="K18" s="63" t="s">
        <v>146</v>
      </c>
      <c r="L18" s="68" t="s">
        <v>161</v>
      </c>
      <c r="M18" s="68" t="s">
        <v>162</v>
      </c>
    </row>
    <row r="19" spans="1:13" ht="30.75">
      <c r="A19" s="9" t="s">
        <v>163</v>
      </c>
      <c r="B19" s="59" t="s">
        <v>57</v>
      </c>
      <c r="C19" s="60" t="s">
        <v>58</v>
      </c>
      <c r="D19" s="60" t="s">
        <v>59</v>
      </c>
      <c r="E19" s="61" t="str">
        <f t="shared" si="0"/>
        <v>Yellow</v>
      </c>
      <c r="F19" s="67" t="s">
        <v>164</v>
      </c>
      <c r="G19" s="62" t="s">
        <v>165</v>
      </c>
      <c r="H19" s="62" t="s">
        <v>98</v>
      </c>
      <c r="I19" s="65" t="s">
        <v>166</v>
      </c>
      <c r="J19" s="32" t="s">
        <v>167</v>
      </c>
      <c r="K19" s="63" t="s">
        <v>82</v>
      </c>
      <c r="L19" s="68" t="s">
        <v>168</v>
      </c>
      <c r="M19" s="68" t="s">
        <v>169</v>
      </c>
    </row>
    <row r="20" spans="1:13" ht="20.25">
      <c r="A20" s="9" t="s">
        <v>170</v>
      </c>
      <c r="B20" s="59" t="s">
        <v>57</v>
      </c>
      <c r="C20" s="60" t="s">
        <v>58</v>
      </c>
      <c r="D20" s="60" t="s">
        <v>86</v>
      </c>
      <c r="E20" s="61" t="str">
        <f t="shared" si="0"/>
        <v>Red</v>
      </c>
      <c r="F20" s="67" t="s">
        <v>171</v>
      </c>
      <c r="G20" s="62" t="s">
        <v>172</v>
      </c>
      <c r="H20" s="62" t="s">
        <v>89</v>
      </c>
      <c r="I20" s="65" t="s">
        <v>173</v>
      </c>
      <c r="J20" s="32" t="s">
        <v>174</v>
      </c>
      <c r="K20" s="63" t="s">
        <v>65</v>
      </c>
      <c r="L20" s="68" t="s">
        <v>175</v>
      </c>
      <c r="M20" s="68" t="s">
        <v>176</v>
      </c>
    </row>
    <row r="21" spans="1:13" ht="20.25">
      <c r="A21" s="9" t="s">
        <v>177</v>
      </c>
      <c r="B21" s="59" t="s">
        <v>57</v>
      </c>
      <c r="C21" s="60" t="s">
        <v>58</v>
      </c>
      <c r="D21" s="60" t="s">
        <v>59</v>
      </c>
      <c r="E21" s="61" t="str">
        <f t="shared" si="0"/>
        <v>Yellow</v>
      </c>
      <c r="F21" s="67" t="s">
        <v>178</v>
      </c>
      <c r="G21" s="62" t="s">
        <v>172</v>
      </c>
      <c r="H21" s="62" t="s">
        <v>89</v>
      </c>
      <c r="I21" s="65" t="s">
        <v>179</v>
      </c>
      <c r="J21" s="32" t="s">
        <v>180</v>
      </c>
      <c r="K21" s="63" t="s">
        <v>65</v>
      </c>
      <c r="L21" s="68" t="s">
        <v>181</v>
      </c>
      <c r="M21" s="68" t="s">
        <v>182</v>
      </c>
    </row>
    <row r="22" spans="1:13" ht="20.25">
      <c r="A22" s="9" t="s">
        <v>183</v>
      </c>
      <c r="B22" s="59" t="s">
        <v>57</v>
      </c>
      <c r="C22" s="60" t="s">
        <v>86</v>
      </c>
      <c r="D22" s="60" t="s">
        <v>59</v>
      </c>
      <c r="E22" s="61" t="str">
        <f t="shared" si="0"/>
        <v>Green</v>
      </c>
      <c r="F22" s="67" t="s">
        <v>184</v>
      </c>
      <c r="G22" s="62" t="s">
        <v>185</v>
      </c>
      <c r="H22" s="62" t="s">
        <v>186</v>
      </c>
      <c r="I22" s="65" t="s">
        <v>187</v>
      </c>
      <c r="J22" s="32" t="s">
        <v>188</v>
      </c>
      <c r="K22" s="63" t="s">
        <v>65</v>
      </c>
      <c r="L22" s="68" t="s">
        <v>189</v>
      </c>
      <c r="M22" s="68" t="s">
        <v>190</v>
      </c>
    </row>
    <row r="23" spans="1:13" ht="20.25">
      <c r="A23" s="9" t="s">
        <v>191</v>
      </c>
      <c r="B23" s="59" t="s">
        <v>57</v>
      </c>
      <c r="C23" s="60" t="s">
        <v>86</v>
      </c>
      <c r="D23" s="60" t="s">
        <v>59</v>
      </c>
      <c r="E23" s="61" t="str">
        <f t="shared" si="0"/>
        <v>Green</v>
      </c>
      <c r="F23" s="67" t="s">
        <v>192</v>
      </c>
      <c r="G23" s="62" t="s">
        <v>193</v>
      </c>
      <c r="H23" s="62" t="s">
        <v>186</v>
      </c>
      <c r="I23" s="65" t="s">
        <v>194</v>
      </c>
      <c r="J23" s="32" t="s">
        <v>195</v>
      </c>
      <c r="K23" s="63" t="s">
        <v>65</v>
      </c>
      <c r="L23" s="68" t="s">
        <v>196</v>
      </c>
      <c r="M23" s="68" t="s">
        <v>197</v>
      </c>
    </row>
    <row r="24" spans="1:13" ht="20.25">
      <c r="A24" s="9" t="s">
        <v>198</v>
      </c>
      <c r="B24" s="59" t="s">
        <v>57</v>
      </c>
      <c r="C24" s="60" t="s">
        <v>58</v>
      </c>
      <c r="D24" s="60" t="s">
        <v>86</v>
      </c>
      <c r="E24" s="61" t="str">
        <f t="shared" si="0"/>
        <v>Red</v>
      </c>
      <c r="F24" s="67" t="s">
        <v>199</v>
      </c>
      <c r="G24" s="62" t="s">
        <v>200</v>
      </c>
      <c r="H24" s="62" t="s">
        <v>98</v>
      </c>
      <c r="I24" s="65" t="s">
        <v>201</v>
      </c>
      <c r="J24" s="32" t="s">
        <v>202</v>
      </c>
      <c r="K24" s="63" t="s">
        <v>65</v>
      </c>
      <c r="L24" s="68" t="s">
        <v>203</v>
      </c>
      <c r="M24" s="68" t="s">
        <v>204</v>
      </c>
    </row>
    <row r="25" spans="1:13" ht="30.75">
      <c r="A25" s="9" t="s">
        <v>205</v>
      </c>
      <c r="B25" s="59" t="s">
        <v>57</v>
      </c>
      <c r="C25" s="60" t="s">
        <v>59</v>
      </c>
      <c r="D25" s="60" t="s">
        <v>86</v>
      </c>
      <c r="E25" s="61" t="e">
        <f>IF(OR(AND(B25&lt;&gt;"Closed",D25="High",#REF!="High"),AND(B25&lt;&gt;"Closed",D25="High",#REF!="Medium"),AND(B25&lt;&gt;"Closed",D25="Medium",#REF!="High")),"Red",IF(OR(AND(B25&lt;&gt;"Closed",D25="High",#REF!="Low"),AND(B25&lt;&gt;"Closed",D25="Medium",#REF!="Medium"),AND(B25&lt;&gt;"Closed",D25="Low",#REF!="High")),"Yellow",IF(OR(AND(B25&lt;&gt;"Closed",D25="Medium",#REF!="Low"),AND(B25&lt;&gt;"Closed",D25="Low",#REF!="Low"),AND(B25&lt;&gt;"Closed",D25="Low",#REF!="Medium")),"Green",IF(B25="Closed","Closed",""))))</f>
        <v>#REF!</v>
      </c>
      <c r="F25" s="67" t="s">
        <v>206</v>
      </c>
      <c r="G25" s="62" t="s">
        <v>207</v>
      </c>
      <c r="H25" s="62" t="s">
        <v>208</v>
      </c>
      <c r="I25" s="65" t="s">
        <v>209</v>
      </c>
      <c r="J25" s="32" t="s">
        <v>210</v>
      </c>
      <c r="K25" s="63" t="s">
        <v>146</v>
      </c>
      <c r="L25" s="68" t="s">
        <v>211</v>
      </c>
      <c r="M25" s="68" t="s">
        <v>212</v>
      </c>
    </row>
    <row r="26" spans="1:13" ht="20.25">
      <c r="A26" s="9" t="s">
        <v>213</v>
      </c>
      <c r="B26" s="59" t="s">
        <v>57</v>
      </c>
      <c r="C26" s="60" t="s">
        <v>58</v>
      </c>
      <c r="D26" s="60" t="s">
        <v>86</v>
      </c>
      <c r="E26" s="61" t="str">
        <f t="shared" si="0"/>
        <v>Red</v>
      </c>
      <c r="F26" s="67" t="s">
        <v>214</v>
      </c>
      <c r="G26" s="62" t="s">
        <v>215</v>
      </c>
      <c r="H26" s="62" t="s">
        <v>186</v>
      </c>
      <c r="I26" s="65" t="s">
        <v>216</v>
      </c>
      <c r="J26" s="32" t="s">
        <v>217</v>
      </c>
      <c r="K26" s="63" t="s">
        <v>146</v>
      </c>
      <c r="L26" s="68" t="s">
        <v>218</v>
      </c>
      <c r="M26" s="68" t="s">
        <v>219</v>
      </c>
    </row>
    <row r="27" spans="1:13">
      <c r="A27" s="9"/>
      <c r="B27" s="59"/>
      <c r="C27" s="60"/>
      <c r="D27" s="60"/>
      <c r="E27" s="61" t="str">
        <f t="shared" si="0"/>
        <v/>
      </c>
      <c r="F27" s="67"/>
      <c r="G27" s="62"/>
      <c r="H27" s="62"/>
      <c r="I27" s="38"/>
      <c r="J27" s="32"/>
      <c r="K27" s="63"/>
      <c r="L27" s="68"/>
      <c r="M27" s="68"/>
    </row>
    <row r="28" spans="1:13">
      <c r="A28" s="10"/>
      <c r="B28" s="69"/>
      <c r="C28" s="70"/>
      <c r="D28" s="70"/>
      <c r="E28" s="69" t="str">
        <f t="shared" si="0"/>
        <v/>
      </c>
      <c r="F28" s="71"/>
      <c r="G28" s="72"/>
      <c r="H28" s="72"/>
      <c r="I28" s="36"/>
      <c r="J28" s="37"/>
      <c r="K28" s="73"/>
      <c r="L28" s="74"/>
      <c r="M28" s="74"/>
    </row>
    <row r="29" spans="1:13">
      <c r="B29" s="75"/>
      <c r="C29" s="75"/>
      <c r="D29" s="75"/>
      <c r="E29" s="75"/>
      <c r="F29" s="76"/>
      <c r="G29" s="76"/>
      <c r="H29" s="76"/>
      <c r="I29" s="76"/>
      <c r="J29" s="76"/>
      <c r="K29" s="76"/>
      <c r="L29" s="76"/>
      <c r="M29" s="76"/>
    </row>
    <row r="30" spans="1:13">
      <c r="B30" s="75"/>
      <c r="C30" s="75"/>
      <c r="D30" s="75"/>
      <c r="E30" s="75"/>
      <c r="F30" s="76"/>
      <c r="G30" s="76"/>
      <c r="H30" s="76"/>
      <c r="I30" s="76"/>
      <c r="J30" s="76"/>
      <c r="K30" s="76"/>
      <c r="L30" s="76"/>
      <c r="M30" s="76"/>
    </row>
    <row r="31" spans="1:13">
      <c r="B31" s="75"/>
      <c r="C31" s="75"/>
      <c r="D31" s="75"/>
      <c r="E31" s="75"/>
      <c r="F31" s="76"/>
      <c r="G31" s="76"/>
      <c r="H31" s="76"/>
      <c r="I31" s="76"/>
      <c r="J31" s="76"/>
      <c r="K31" s="76"/>
      <c r="L31" s="76"/>
      <c r="M31" s="76"/>
    </row>
    <row r="32" spans="1:13">
      <c r="B32" s="75"/>
      <c r="C32" s="75"/>
      <c r="D32" s="75"/>
      <c r="E32" s="75"/>
      <c r="F32" s="76" t="s">
        <v>220</v>
      </c>
      <c r="G32" s="76"/>
      <c r="H32" s="76"/>
      <c r="I32" s="76"/>
      <c r="J32" s="76"/>
      <c r="K32" s="76"/>
      <c r="L32" s="76"/>
      <c r="M32" s="76"/>
    </row>
    <row r="33" spans="2:13">
      <c r="B33" s="75"/>
      <c r="C33" s="75"/>
      <c r="D33" s="75"/>
      <c r="E33" s="75"/>
      <c r="F33" s="76"/>
      <c r="G33" s="76"/>
      <c r="H33" s="76"/>
      <c r="I33" s="76"/>
      <c r="J33" s="76"/>
      <c r="K33" s="76"/>
      <c r="L33" s="76"/>
      <c r="M33" s="76"/>
    </row>
    <row r="34" spans="2:13">
      <c r="B34" s="75"/>
      <c r="C34" s="75"/>
      <c r="D34" s="75"/>
      <c r="E34" s="75"/>
      <c r="F34" s="76"/>
      <c r="G34" s="76"/>
      <c r="H34" s="76"/>
      <c r="I34" s="76"/>
      <c r="J34" s="76"/>
      <c r="K34" s="76"/>
      <c r="L34" s="76"/>
      <c r="M34" s="76"/>
    </row>
    <row r="35" spans="2:13">
      <c r="B35" s="75"/>
      <c r="C35" s="75"/>
      <c r="D35" s="75"/>
      <c r="E35" s="75"/>
      <c r="F35" s="76"/>
      <c r="G35" s="76"/>
      <c r="H35" s="76"/>
      <c r="I35" s="76"/>
      <c r="J35" s="76"/>
      <c r="K35" s="76"/>
      <c r="L35" s="76"/>
      <c r="M35" s="76"/>
    </row>
  </sheetData>
  <autoFilter ref="B5:D5" xr:uid="{3E1CE574-BB6E-453D-9C2A-CF8D0199EFC2}"/>
  <phoneticPr fontId="3" type="noConversion"/>
  <conditionalFormatting sqref="C29:E65529 C1:E1 B5:C5 B6:B28">
    <cfRule type="cellIs" dxfId="8" priority="2" stopIfTrue="1" operator="equal">
      <formula>"Critical"</formula>
    </cfRule>
    <cfRule type="cellIs" dxfId="7" priority="3" stopIfTrue="1" operator="equal">
      <formula>"High"</formula>
    </cfRule>
    <cfRule type="cellIs" dxfId="6" priority="4" stopIfTrue="1" operator="equal">
      <formula>"Medium"</formula>
    </cfRule>
  </conditionalFormatting>
  <conditionalFormatting sqref="E6:E28">
    <cfRule type="cellIs" dxfId="5" priority="7" stopIfTrue="1" operator="equal">
      <formula>"Red"</formula>
    </cfRule>
    <cfRule type="cellIs" dxfId="4" priority="8" stopIfTrue="1" operator="equal">
      <formula>"Yellow"</formula>
    </cfRule>
    <cfRule type="cellIs" dxfId="3" priority="9" stopIfTrue="1" operator="equal">
      <formula>"Green"</formula>
    </cfRule>
  </conditionalFormatting>
  <conditionalFormatting sqref="C6:D28">
    <cfRule type="cellIs" dxfId="2" priority="10" stopIfTrue="1" operator="equal">
      <formula>"High"</formula>
    </cfRule>
    <cfRule type="cellIs" dxfId="1" priority="11" stopIfTrue="1" operator="equal">
      <formula>"Medium"</formula>
    </cfRule>
    <cfRule type="cellIs" dxfId="0" priority="12" stopIfTrue="1" operator="equal">
      <formula>"Low"</formula>
    </cfRule>
  </conditionalFormatting>
  <dataValidations count="4">
    <dataValidation type="list" allowBlank="1" showInputMessage="1" showErrorMessage="1" sqref="C6:D28" xr:uid="{7DC5945C-BA0F-40C9-8CCB-FF8E888D2C9C}">
      <formula1>"High,Medium,Low"</formula1>
    </dataValidation>
    <dataValidation type="list" allowBlank="1" showInputMessage="1" showErrorMessage="1" sqref="H6:H28" xr:uid="{ED9D7C2F-2959-46B6-A365-228DAFCFDFC8}">
      <formula1>Risk_Area</formula1>
    </dataValidation>
    <dataValidation type="list" allowBlank="1" showInputMessage="1" showErrorMessage="1" sqref="B6:B28" xr:uid="{F40C22C5-C338-4DD1-BD5B-FB34B5F522CD}">
      <formula1>"Open,Closed"</formula1>
    </dataValidation>
    <dataValidation type="list" allowBlank="1" showInputMessage="1" showErrorMessage="1" sqref="K6:K28" xr:uid="{9641E695-7FBB-4BA4-A1AC-1E4FEA00D946}">
      <formula1>"Acceptance,Avoidance,Contingency,Mitigation,Transfer"</formula1>
    </dataValidation>
  </dataValidations>
  <pageMargins left="0.25" right="0.25" top="0.5" bottom="0.5" header="0.5" footer="0.5"/>
  <pageSetup orientation="landscape" r:id="rId1"/>
  <headerFooter alignWithMargins="0">
    <oddFooter>&amp;L&amp;"Arial,Bold"&amp;8UP Template Version&amp;"Arial,Regular": 11/30/06&amp;R&amp;8Page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3B99-8002-408C-98FE-B41E3D8E28DB}">
  <dimension ref="A1:A20"/>
  <sheetViews>
    <sheetView workbookViewId="0">
      <selection activeCell="C16" sqref="C16"/>
    </sheetView>
  </sheetViews>
  <sheetFormatPr defaultRowHeight="12.75"/>
  <cols>
    <col min="1" max="1" width="31.7109375" bestFit="1" customWidth="1"/>
  </cols>
  <sheetData>
    <row r="1" spans="1:1" ht="13.5" thickBot="1">
      <c r="A1" s="28" t="s">
        <v>50</v>
      </c>
    </row>
    <row r="2" spans="1:1">
      <c r="A2" s="29" t="s">
        <v>208</v>
      </c>
    </row>
    <row r="3" spans="1:1">
      <c r="A3" s="29" t="s">
        <v>221</v>
      </c>
    </row>
    <row r="4" spans="1:1">
      <c r="A4" s="29" t="s">
        <v>222</v>
      </c>
    </row>
    <row r="5" spans="1:1">
      <c r="A5" s="29" t="s">
        <v>223</v>
      </c>
    </row>
    <row r="6" spans="1:1">
      <c r="A6" s="29" t="s">
        <v>224</v>
      </c>
    </row>
    <row r="7" spans="1:1">
      <c r="A7" s="29" t="s">
        <v>106</v>
      </c>
    </row>
    <row r="8" spans="1:1">
      <c r="A8" s="29" t="s">
        <v>225</v>
      </c>
    </row>
    <row r="9" spans="1:1">
      <c r="A9" s="29" t="s">
        <v>89</v>
      </c>
    </row>
    <row r="10" spans="1:1">
      <c r="A10" s="29" t="s">
        <v>136</v>
      </c>
    </row>
    <row r="11" spans="1:1">
      <c r="A11" s="29" t="s">
        <v>226</v>
      </c>
    </row>
    <row r="12" spans="1:1">
      <c r="A12" s="29" t="s">
        <v>72</v>
      </c>
    </row>
    <row r="13" spans="1:1">
      <c r="A13" s="29" t="s">
        <v>186</v>
      </c>
    </row>
    <row r="14" spans="1:1">
      <c r="A14" s="29" t="s">
        <v>227</v>
      </c>
    </row>
    <row r="15" spans="1:1">
      <c r="A15" s="29" t="s">
        <v>98</v>
      </c>
    </row>
    <row r="16" spans="1:1">
      <c r="A16" s="29" t="s">
        <v>228</v>
      </c>
    </row>
    <row r="17" spans="1:1">
      <c r="A17" s="29" t="s">
        <v>229</v>
      </c>
    </row>
    <row r="18" spans="1:1">
      <c r="A18" s="29" t="s">
        <v>230</v>
      </c>
    </row>
    <row r="19" spans="1:1">
      <c r="A19" s="29" t="s">
        <v>231</v>
      </c>
    </row>
    <row r="20" spans="1:1">
      <c r="A20" s="29" t="s">
        <v>232</v>
      </c>
    </row>
  </sheetData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National Center for Public Health Informatics</Manager>
  <Company>The Centers for Disease Control and Prevention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Risk Log Template</dc:title>
  <dc:subject>&lt;Project Name&gt;</dc:subject>
  <dc:creator>Daniel Vitek MBA, PMP - Consultant to CDC NCPHI</dc:creator>
  <cp:keywords>CDC Unified Process, CDC UP, CDCUP</cp:keywords>
  <dc:description>CDC, CDC UP, and Author policies located at http://www.cdc.gov/cdcup/</dc:description>
  <cp:lastModifiedBy>Mark Fedechko</cp:lastModifiedBy>
  <cp:revision/>
  <dcterms:created xsi:type="dcterms:W3CDTF">2006-01-23T19:52:16Z</dcterms:created>
  <dcterms:modified xsi:type="dcterms:W3CDTF">2026-05-06T20:59:42Z</dcterms:modified>
  <cp:category>CDC Unified Process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bool>true</vt:bool>
  </property>
  <property fmtid="{D5CDD505-2E9C-101B-9397-08002B2CF9AE}" pid="3" name="Email">
    <vt:lpwstr>cdcup@cdc.gov</vt:lpwstr>
  </property>
  <property fmtid="{D5CDD505-2E9C-101B-9397-08002B2CF9AE}" pid="4" name="Source">
    <vt:lpwstr>http://www.cdc.gov/cdcup/</vt:lpwstr>
  </property>
</Properties>
</file>